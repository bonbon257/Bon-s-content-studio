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品牌原始数据" sheetId="1" state="visible" r:id="rId2"/>
    <sheet name="数据洞察" sheetId="2" state="visible" r:id="rId3"/>
    <sheet name="ROI测算模型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<sst xmlns="http://schemas.openxmlformats.org/spreadsheetml/2006/main" count="225" uniqueCount="193">
  <si>
    <r>
      <rPr>
        <b val="true"/>
        <sz val="12"/>
        <color rgb="FFB85042"/>
        <rFont val="Noto Sans CJK SC"/>
        <family val="2"/>
      </rPr>
      <t xml:space="preserve">山池咖啡采集表（近</t>
    </r>
    <r>
      <rPr>
        <b val="true"/>
        <sz val="12"/>
        <color rgb="FFB85042"/>
        <rFont val="Arial"/>
        <family val="0"/>
        <charset val="1"/>
      </rPr>
      <t xml:space="preserve">12</t>
    </r>
    <r>
      <rPr>
        <b val="true"/>
        <sz val="12"/>
        <color rgb="FFB85042"/>
        <rFont val="Noto Sans CJK SC"/>
        <family val="2"/>
      </rPr>
      <t xml:space="preserve">个月数据）</t>
    </r>
  </si>
  <si>
    <t xml:space="preserve">月份</t>
  </si>
  <si>
    <t xml:space="preserve">基础经营数据（推算拉新好友）</t>
  </si>
  <si>
    <t xml:space="preserve">会员数据</t>
  </si>
  <si>
    <t xml:space="preserve">私域数据</t>
  </si>
  <si>
    <t xml:space="preserve">项目</t>
  </si>
  <si>
    <t xml:space="preserve">数值</t>
  </si>
  <si>
    <t xml:space="preserve">说明</t>
  </si>
  <si>
    <r>
      <rPr>
        <b val="true"/>
        <sz val="9"/>
        <color rgb="FF666666"/>
        <rFont val="Noto Sans CJK SC"/>
        <family val="2"/>
      </rPr>
      <t xml:space="preserve">近</t>
    </r>
    <r>
      <rPr>
        <b val="true"/>
        <sz val="9"/>
        <color rgb="FF666666"/>
        <rFont val="Arial"/>
        <family val="0"/>
        <charset val="1"/>
      </rPr>
      <t xml:space="preserve">12</t>
    </r>
    <r>
      <rPr>
        <b val="true"/>
        <sz val="9"/>
        <color rgb="FF666666"/>
        <rFont val="Noto Sans CJK SC"/>
        <family val="2"/>
      </rPr>
      <t xml:space="preserve">个月</t>
    </r>
  </si>
  <si>
    <t xml:space="preserve">门店数</t>
  </si>
  <si>
    <t xml:space="preserve">客流量</t>
  </si>
  <si>
    <r>
      <rPr>
        <b val="true"/>
        <sz val="9"/>
        <color rgb="FF666666"/>
        <rFont val="Noto Sans CJK SC"/>
        <family val="2"/>
      </rPr>
      <t xml:space="preserve">订单数
</t>
    </r>
    <r>
      <rPr>
        <b val="true"/>
        <sz val="9"/>
        <color rgb="FF666666"/>
        <rFont val="Arial"/>
        <family val="0"/>
        <charset val="1"/>
      </rPr>
      <t xml:space="preserve">(</t>
    </r>
    <r>
      <rPr>
        <b val="true"/>
        <sz val="9"/>
        <color rgb="FF666666"/>
        <rFont val="Noto Sans CJK SC"/>
        <family val="2"/>
      </rPr>
      <t xml:space="preserve">小程序产生的订单数</t>
    </r>
    <r>
      <rPr>
        <b val="true"/>
        <sz val="9"/>
        <color rgb="FF666666"/>
        <rFont val="Arial"/>
        <family val="0"/>
        <charset val="1"/>
      </rPr>
      <t xml:space="preserve">)</t>
    </r>
  </si>
  <si>
    <r>
      <rPr>
        <b val="true"/>
        <sz val="9"/>
        <color rgb="FF666666"/>
        <rFont val="Noto Sans CJK SC"/>
        <family val="2"/>
      </rPr>
      <t xml:space="preserve">消费人数
</t>
    </r>
    <r>
      <rPr>
        <b val="true"/>
        <sz val="9"/>
        <color rgb="FF666666"/>
        <rFont val="Arial"/>
        <family val="0"/>
        <charset val="1"/>
      </rPr>
      <t xml:space="preserve">(</t>
    </r>
    <r>
      <rPr>
        <b val="true"/>
        <sz val="9"/>
        <color rgb="FF666666"/>
        <rFont val="Noto Sans CJK SC"/>
        <family val="2"/>
      </rPr>
      <t xml:space="preserve">小程序产生的消费人数</t>
    </r>
    <r>
      <rPr>
        <b val="true"/>
        <sz val="9"/>
        <color rgb="FF666666"/>
        <rFont val="Arial"/>
        <family val="0"/>
        <charset val="1"/>
      </rPr>
      <t xml:space="preserve">)</t>
    </r>
  </si>
  <si>
    <t xml:space="preserve">客单价（元）</t>
  </si>
  <si>
    <t xml:space="preserve">会员体量</t>
  </si>
  <si>
    <t xml:space="preserve">会员消费人数</t>
  </si>
  <si>
    <r>
      <rPr>
        <b val="true"/>
        <sz val="9"/>
        <color rgb="FF666666"/>
        <rFont val="Noto Sans CJK SC"/>
        <family val="2"/>
      </rPr>
      <t xml:space="preserve">会员消费频次（次</t>
    </r>
    <r>
      <rPr>
        <b val="true"/>
        <sz val="9"/>
        <color rgb="FF666666"/>
        <rFont val="Arial"/>
        <family val="0"/>
        <charset val="1"/>
      </rPr>
      <t xml:space="preserve">/</t>
    </r>
    <r>
      <rPr>
        <b val="true"/>
        <sz val="9"/>
        <color rgb="FF666666"/>
        <rFont val="Noto Sans CJK SC"/>
        <family val="2"/>
      </rPr>
      <t xml:space="preserve">月）</t>
    </r>
  </si>
  <si>
    <t xml:space="preserve">企微现有好友总数</t>
  </si>
  <si>
    <t xml:space="preserve">人均拉新成本预算</t>
  </si>
  <si>
    <t xml:space="preserve">私域拉新的利益点成本；用于判断拉新覆盖率，利益点越高，用户更容易进品牌私域池</t>
  </si>
  <si>
    <t xml:space="preserve">-</t>
  </si>
  <si>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</si>
  <si>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</si>
  <si>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</si>
  <si>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</si>
  <si>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</si>
  <si>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</si>
  <si>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Noto Sans CJK SC"/>
        <family val="2"/>
      </rPr>
      <t xml:space="preserve">数据截止至</t>
    </r>
    <r>
      <rPr>
        <sz val="11"/>
        <color rgb="FF000000"/>
        <rFont val="Calibri"/>
        <family val="2"/>
        <charset val="1"/>
      </rPr>
      <t xml:space="preserve">6/25</t>
    </r>
  </si>
  <si>
    <t xml:space="preserve">年均值</t>
  </si>
  <si>
    <r>
      <rPr>
        <b val="true"/>
        <sz val="14"/>
        <color rgb="FFFFFFFF"/>
        <rFont val="Noto Sans CJK SC"/>
        <family val="2"/>
      </rPr>
      <t xml:space="preserve">山池咖啡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品牌数据分析洞察</t>
    </r>
  </si>
  <si>
    <t xml:space="preserve">一、关键数据发现</t>
  </si>
  <si>
    <t xml:space="preserve">指标</t>
  </si>
  <si>
    <t xml:space="preserve">洞察说明</t>
  </si>
  <si>
    <t xml:space="preserve">月均消费人数</t>
  </si>
  <si>
    <r>
      <rPr>
        <i val="true"/>
        <sz val="9"/>
        <color rgb="FF888888"/>
        <rFont val="Noto Sans CJK SC"/>
        <family val="2"/>
      </rPr>
      <t xml:space="preserve">月均</t>
    </r>
    <r>
      <rPr>
        <i val="true"/>
        <sz val="9"/>
        <color rgb="FF888888"/>
        <rFont val="Arial"/>
        <family val="0"/>
        <charset val="1"/>
      </rPr>
      <t xml:space="preserve">37,023</t>
    </r>
    <r>
      <rPr>
        <i val="true"/>
        <sz val="9"/>
        <color rgb="FF888888"/>
        <rFont val="Noto Sans CJK SC"/>
        <family val="2"/>
      </rPr>
      <t xml:space="preserve">人，是企微拉新的流量池</t>
    </r>
  </si>
  <si>
    <t xml:space="preserve">月均客单价</t>
  </si>
  <si>
    <r>
      <rPr>
        <i val="true"/>
        <sz val="9"/>
        <color rgb="FF888888"/>
        <rFont val="Noto Sans CJK SC"/>
        <family val="2"/>
      </rPr>
      <t xml:space="preserve">每多到店</t>
    </r>
    <r>
      <rPr>
        <i val="true"/>
        <sz val="9"/>
        <color rgb="FF888888"/>
        <rFont val="Arial"/>
        <family val="0"/>
        <charset val="1"/>
      </rPr>
      <t xml:space="preserve">1</t>
    </r>
    <r>
      <rPr>
        <i val="true"/>
        <sz val="9"/>
        <color rgb="FF888888"/>
        <rFont val="Noto Sans CJK SC"/>
        <family val="2"/>
      </rPr>
      <t xml:space="preserve">次</t>
    </r>
    <r>
      <rPr>
        <i val="true"/>
        <sz val="9"/>
        <color rgb="FF888888"/>
        <rFont val="Arial"/>
        <family val="0"/>
        <charset val="1"/>
      </rPr>
      <t xml:space="preserve">=+58.83</t>
    </r>
    <r>
      <rPr>
        <i val="true"/>
        <sz val="9"/>
        <color rgb="FF888888"/>
        <rFont val="Noto Sans CJK SC"/>
        <family val="2"/>
      </rPr>
      <t xml:space="preserve">元增量</t>
    </r>
    <r>
      <rPr>
        <i val="true"/>
        <sz val="9"/>
        <color rgb="FF888888"/>
        <rFont val="Arial"/>
        <family val="0"/>
        <charset val="1"/>
      </rPr>
      <t xml:space="preserve">GMV</t>
    </r>
  </si>
  <si>
    <t xml:space="preserve">月均订单数</t>
  </si>
  <si>
    <r>
      <rPr>
        <i val="true"/>
        <sz val="9"/>
        <color rgb="FF888888"/>
        <rFont val="Noto Sans CJK SC"/>
        <family val="2"/>
      </rPr>
      <t xml:space="preserve">月均</t>
    </r>
    <r>
      <rPr>
        <i val="true"/>
        <sz val="9"/>
        <color rgb="FF888888"/>
        <rFont val="Arial"/>
        <family val="0"/>
        <charset val="1"/>
      </rPr>
      <t xml:space="preserve">84,567</t>
    </r>
    <r>
      <rPr>
        <i val="true"/>
        <sz val="9"/>
        <color rgb="FF888888"/>
        <rFont val="Noto Sans CJK SC"/>
        <family val="2"/>
      </rPr>
      <t xml:space="preserve">单，连锁规模稳健</t>
    </r>
  </si>
  <si>
    <t xml:space="preserve">门店数（最新）</t>
  </si>
  <si>
    <r>
      <rPr>
        <i val="true"/>
        <sz val="9"/>
        <color rgb="FF888888"/>
        <rFont val="Noto Sans CJK SC"/>
        <family val="2"/>
      </rPr>
      <t xml:space="preserve">从</t>
    </r>
    <r>
      <rPr>
        <i val="true"/>
        <sz val="9"/>
        <color rgb="FF888888"/>
        <rFont val="Arial"/>
        <family val="0"/>
        <charset val="1"/>
      </rPr>
      <t xml:space="preserve">13</t>
    </r>
    <r>
      <rPr>
        <i val="true"/>
        <sz val="9"/>
        <color rgb="FF888888"/>
        <rFont val="Noto Sans CJK SC"/>
        <family val="2"/>
      </rPr>
      <t xml:space="preserve">家→</t>
    </r>
    <r>
      <rPr>
        <i val="true"/>
        <sz val="9"/>
        <color rgb="FF888888"/>
        <rFont val="Arial"/>
        <family val="0"/>
        <charset val="1"/>
      </rPr>
      <t xml:space="preserve">19</t>
    </r>
    <r>
      <rPr>
        <i val="true"/>
        <sz val="9"/>
        <color rgb="FF888888"/>
        <rFont val="Noto Sans CJK SC"/>
        <family val="2"/>
      </rPr>
      <t xml:space="preserve">家，扩张迅速</t>
    </r>
  </si>
  <si>
    <t xml:space="preserve">会员体量（累计）</t>
  </si>
  <si>
    <r>
      <rPr>
        <i val="true"/>
        <sz val="9"/>
        <color rgb="FF888888"/>
        <rFont val="Noto Sans CJK SC"/>
        <family val="2"/>
      </rPr>
      <t xml:space="preserve">累计</t>
    </r>
    <r>
      <rPr>
        <i val="true"/>
        <sz val="9"/>
        <color rgb="FF888888"/>
        <rFont val="Arial"/>
        <family val="0"/>
        <charset val="1"/>
      </rPr>
      <t xml:space="preserve">98.6</t>
    </r>
    <r>
      <rPr>
        <i val="true"/>
        <sz val="9"/>
        <color rgb="FF888888"/>
        <rFont val="Noto Sans CJK SC"/>
        <family val="2"/>
      </rPr>
      <t xml:space="preserve">万会员，基数大</t>
    </r>
  </si>
  <si>
    <t xml:space="preserve">会员月均消费人数</t>
  </si>
  <si>
    <r>
      <rPr>
        <i val="true"/>
        <sz val="9"/>
        <color rgb="FF888888"/>
        <rFont val="Noto Sans CJK SC"/>
        <family val="2"/>
      </rPr>
      <t xml:space="preserve">月均</t>
    </r>
    <r>
      <rPr>
        <i val="true"/>
        <sz val="9"/>
        <color rgb="FF888888"/>
        <rFont val="Arial"/>
        <family val="0"/>
        <charset val="1"/>
      </rPr>
      <t xml:space="preserve">31,266</t>
    </r>
    <r>
      <rPr>
        <i val="true"/>
        <sz val="9"/>
        <color rgb="FF888888"/>
        <rFont val="Noto Sans CJK SC"/>
        <family val="2"/>
      </rPr>
      <t xml:space="preserve">人，仅占会员体量</t>
    </r>
    <r>
      <rPr>
        <i val="true"/>
        <sz val="9"/>
        <color rgb="FF888888"/>
        <rFont val="Arial"/>
        <family val="0"/>
        <charset val="1"/>
      </rPr>
      <t xml:space="preserve">3.2%</t>
    </r>
  </si>
  <si>
    <t xml:space="preserve">会员消费频次</t>
  </si>
  <si>
    <r>
      <rPr>
        <i val="true"/>
        <sz val="9"/>
        <color rgb="FF888888"/>
        <rFont val="Noto Sans CJK SC"/>
        <family val="2"/>
      </rPr>
      <t xml:space="preserve">仅</t>
    </r>
    <r>
      <rPr>
        <i val="true"/>
        <sz val="9"/>
        <color rgb="FF888888"/>
        <rFont val="Arial"/>
        <family val="0"/>
        <charset val="1"/>
      </rPr>
      <t xml:space="preserve">1.35</t>
    </r>
    <r>
      <rPr>
        <i val="true"/>
        <sz val="9"/>
        <color rgb="FF888888"/>
        <rFont val="Noto Sans CJK SC"/>
        <family val="2"/>
      </rPr>
      <t xml:space="preserve">次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月，行业均值</t>
    </r>
    <r>
      <rPr>
        <i val="true"/>
        <sz val="9"/>
        <color rgb="FF888888"/>
        <rFont val="Arial"/>
        <family val="0"/>
        <charset val="1"/>
      </rPr>
      <t xml:space="preserve">2.25</t>
    </r>
    <r>
      <rPr>
        <i val="true"/>
        <sz val="9"/>
        <color rgb="FF888888"/>
        <rFont val="Noto Sans CJK SC"/>
        <family val="2"/>
      </rPr>
      <t xml:space="preserve">次，差距</t>
    </r>
    <r>
      <rPr>
        <i val="true"/>
        <sz val="9"/>
        <color rgb="FF888888"/>
        <rFont val="Arial"/>
        <family val="0"/>
        <charset val="1"/>
      </rPr>
      <t xml:space="preserve">0.9</t>
    </r>
    <r>
      <rPr>
        <i val="true"/>
        <sz val="9"/>
        <color rgb="FF888888"/>
        <rFont val="Noto Sans CJK SC"/>
        <family val="2"/>
      </rPr>
      <t xml:space="preserve">次</t>
    </r>
  </si>
  <si>
    <t xml:space="preserve">企微现有好友</t>
  </si>
  <si>
    <r>
      <rPr>
        <i val="true"/>
        <sz val="9"/>
        <color rgb="FF888888"/>
        <rFont val="Noto Sans CJK SC"/>
        <family val="2"/>
      </rPr>
      <t xml:space="preserve">当前为</t>
    </r>
    <r>
      <rPr>
        <i val="true"/>
        <sz val="9"/>
        <color rgb="FF888888"/>
        <rFont val="Arial"/>
        <family val="0"/>
        <charset val="1"/>
      </rPr>
      <t xml:space="preserve">0</t>
    </r>
    <r>
      <rPr>
        <i val="true"/>
        <sz val="9"/>
        <color rgb="FF888888"/>
        <rFont val="Noto Sans CJK SC"/>
        <family val="2"/>
      </rPr>
      <t xml:space="preserve">！私域完全从零起步</t>
    </r>
  </si>
  <si>
    <t xml:space="preserve">人均拉新成本</t>
  </si>
  <si>
    <r>
      <rPr>
        <i val="true"/>
        <sz val="9"/>
        <color rgb="FF888888"/>
        <rFont val="Noto Sans CJK SC"/>
        <family val="2"/>
      </rPr>
      <t xml:space="preserve">约</t>
    </r>
    <r>
      <rPr>
        <i val="true"/>
        <sz val="9"/>
        <color rgb="FF888888"/>
        <rFont val="Arial"/>
        <family val="0"/>
        <charset val="1"/>
      </rPr>
      <t xml:space="preserve">0.5</t>
    </r>
    <r>
      <rPr>
        <i val="true"/>
        <sz val="9"/>
        <color rgb="FF888888"/>
        <rFont val="Noto Sans CJK SC"/>
        <family val="2"/>
      </rPr>
      <t xml:space="preserve">元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人（品牌未提供，行业均值假设）</t>
    </r>
  </si>
  <si>
    <t xml:space="preserve">二、核心结论</t>
  </si>
  <si>
    <r>
      <rPr>
        <sz val="10"/>
        <color rgb="FF1F2937"/>
        <rFont val="Arial"/>
        <family val="0"/>
        <charset val="1"/>
      </rPr>
      <t xml:space="preserve">1. </t>
    </r>
    <r>
      <rPr>
        <sz val="10"/>
        <color rgb="FF1F2937"/>
        <rFont val="Noto Sans CJK SC"/>
        <family val="2"/>
      </rPr>
      <t xml:space="preserve">会员消费频次仅</t>
    </r>
    <r>
      <rPr>
        <sz val="10"/>
        <color rgb="FF1F2937"/>
        <rFont val="Arial"/>
        <family val="0"/>
        <charset val="1"/>
      </rPr>
      <t xml:space="preserve">1.35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月，远低于行业均值</t>
    </r>
    <r>
      <rPr>
        <sz val="10"/>
        <color rgb="FF1F2937"/>
        <rFont val="Arial"/>
        <family val="0"/>
        <charset val="1"/>
      </rPr>
      <t xml:space="preserve">2.25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月（益普索</t>
    </r>
    <r>
      <rPr>
        <sz val="10"/>
        <color rgb="FF1F2937"/>
        <rFont val="Arial"/>
        <family val="0"/>
        <charset val="1"/>
      </rPr>
      <t xml:space="preserve">2026</t>
    </r>
    <r>
      <rPr>
        <sz val="10"/>
        <color rgb="FF1F2937"/>
        <rFont val="Noto Sans CJK SC"/>
        <family val="2"/>
      </rPr>
      <t xml:space="preserve">茶咖报告），提频空间达</t>
    </r>
    <r>
      <rPr>
        <sz val="10"/>
        <color rgb="FF1F2937"/>
        <rFont val="Arial"/>
        <family val="0"/>
        <charset val="1"/>
      </rPr>
      <t xml:space="preserve">+0.9</t>
    </r>
    <r>
      <rPr>
        <sz val="10"/>
        <color rgb="FF1F2937"/>
        <rFont val="Noto Sans CJK SC"/>
        <family val="2"/>
      </rPr>
      <t xml:space="preserve">次（</t>
    </r>
    <r>
      <rPr>
        <sz val="10"/>
        <color rgb="FF1F2937"/>
        <rFont val="Arial"/>
        <family val="0"/>
        <charset val="1"/>
      </rPr>
      <t xml:space="preserve">67%</t>
    </r>
    <r>
      <rPr>
        <sz val="10"/>
        <color rgb="FF1F2937"/>
        <rFont val="Noto Sans CJK SC"/>
        <family val="2"/>
      </rPr>
      <t xml:space="preserve">）。</t>
    </r>
  </si>
  <si>
    <r>
      <rPr>
        <sz val="10"/>
        <color rgb="FF1F2937"/>
        <rFont val="Arial"/>
        <family val="0"/>
        <charset val="1"/>
      </rPr>
      <t xml:space="preserve">2. </t>
    </r>
    <r>
      <rPr>
        <sz val="10"/>
        <color rgb="FF1F2937"/>
        <rFont val="Noto Sans CJK SC"/>
        <family val="2"/>
      </rPr>
      <t xml:space="preserve">企微好友当前为</t>
    </r>
    <r>
      <rPr>
        <sz val="10"/>
        <color rgb="FF1F2937"/>
        <rFont val="Arial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，私域完全从零起步。这意味着所有增量都是</t>
    </r>
    <r>
      <rPr>
        <sz val="10"/>
        <color rgb="FF1F2937"/>
        <rFont val="Arial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新建</t>
    </r>
    <r>
      <rPr>
        <sz val="10"/>
        <color rgb="FF1F2937"/>
        <rFont val="Arial"/>
        <family val="0"/>
        <charset val="1"/>
      </rPr>
      <t xml:space="preserve">"</t>
    </r>
    <r>
      <rPr>
        <sz val="10"/>
        <color rgb="FF1F2937"/>
        <rFont val="Noto Sans CJK SC"/>
        <family val="2"/>
      </rPr>
      <t xml:space="preserve">的，</t>
    </r>
    <r>
      <rPr>
        <sz val="10"/>
        <color rgb="FF1F2937"/>
        <rFont val="Arial"/>
        <family val="0"/>
        <charset val="1"/>
      </rPr>
      <t xml:space="preserve">ROI</t>
    </r>
    <r>
      <rPr>
        <sz val="10"/>
        <color rgb="FF1F2937"/>
        <rFont val="Noto Sans CJK SC"/>
        <family val="2"/>
      </rPr>
      <t xml:space="preserve">的分子会从第</t>
    </r>
    <r>
      <rPr>
        <sz val="10"/>
        <color rgb="FF1F2937"/>
        <rFont val="Arial"/>
        <family val="0"/>
        <charset val="1"/>
      </rPr>
      <t xml:space="preserve">2-3</t>
    </r>
    <r>
      <rPr>
        <sz val="10"/>
        <color rgb="FF1F2937"/>
        <rFont val="Noto Sans CJK SC"/>
        <family val="2"/>
      </rPr>
      <t xml:space="preserve">个月才开始显现。</t>
    </r>
  </si>
  <si>
    <r>
      <rPr>
        <sz val="10"/>
        <color rgb="FF1F2937"/>
        <rFont val="Arial"/>
        <family val="0"/>
        <charset val="1"/>
      </rPr>
      <t xml:space="preserve">3. </t>
    </r>
    <r>
      <rPr>
        <sz val="10"/>
        <color rgb="FF1F2937"/>
        <rFont val="Noto Sans CJK SC"/>
        <family val="2"/>
      </rPr>
      <t xml:space="preserve">人均拉新成本仅</t>
    </r>
    <r>
      <rPr>
        <sz val="10"/>
        <color rgb="FF1F2937"/>
        <rFont val="Arial"/>
        <family val="0"/>
        <charset val="1"/>
      </rPr>
      <t xml:space="preserve">0.42</t>
    </r>
    <r>
      <rPr>
        <sz val="10"/>
        <color rgb="FF1F2937"/>
        <rFont val="Noto Sans CJK SC"/>
        <family val="2"/>
      </rPr>
      <t xml:space="preserve">元，获客成本极低。月均消费人数</t>
    </r>
    <r>
      <rPr>
        <sz val="10"/>
        <color rgb="FF1F2937"/>
        <rFont val="Arial"/>
        <family val="0"/>
        <charset val="1"/>
      </rPr>
      <t xml:space="preserve">37,023</t>
    </r>
    <r>
      <rPr>
        <sz val="10"/>
        <color rgb="FF1F2937"/>
        <rFont val="Noto Sans CJK SC"/>
        <family val="2"/>
      </rPr>
      <t xml:space="preserve">人，假设</t>
    </r>
    <r>
      <rPr>
        <sz val="10"/>
        <color rgb="FF1F2937"/>
        <rFont val="Arial"/>
        <family val="0"/>
        <charset val="1"/>
      </rPr>
      <t xml:space="preserve">8%</t>
    </r>
    <r>
      <rPr>
        <sz val="10"/>
        <color rgb="FF1F2937"/>
        <rFont val="Noto Sans CJK SC"/>
        <family val="2"/>
      </rPr>
      <t xml:space="preserve">转化率</t>
    </r>
    <r>
      <rPr>
        <sz val="10"/>
        <color rgb="FF1F2937"/>
        <rFont val="Arial"/>
        <family val="0"/>
        <charset val="1"/>
      </rPr>
      <t xml:space="preserve">=</t>
    </r>
    <r>
      <rPr>
        <sz val="10"/>
        <color rgb="FF1F2937"/>
        <rFont val="Noto Sans CJK SC"/>
        <family val="2"/>
      </rPr>
      <t xml:space="preserve">月拉新约</t>
    </r>
    <r>
      <rPr>
        <sz val="10"/>
        <color rgb="FF1F2937"/>
        <rFont val="Arial"/>
        <family val="0"/>
        <charset val="1"/>
      </rPr>
      <t xml:space="preserve">3,000</t>
    </r>
    <r>
      <rPr>
        <sz val="10"/>
        <color rgb="FF1F2937"/>
        <rFont val="Noto Sans CJK SC"/>
        <family val="2"/>
      </rPr>
      <t xml:space="preserve">人。</t>
    </r>
  </si>
  <si>
    <r>
      <rPr>
        <sz val="10"/>
        <color rgb="FF1F2937"/>
        <rFont val="Arial"/>
        <family val="0"/>
        <charset val="1"/>
      </rPr>
      <t xml:space="preserve">4. </t>
    </r>
    <r>
      <rPr>
        <sz val="10"/>
        <color rgb="FF1F2937"/>
        <rFont val="Noto Sans CJK SC"/>
        <family val="2"/>
      </rPr>
      <t xml:space="preserve">会员体量</t>
    </r>
    <r>
      <rPr>
        <sz val="10"/>
        <color rgb="FF1F2937"/>
        <rFont val="Arial"/>
        <family val="0"/>
        <charset val="1"/>
      </rPr>
      <t xml:space="preserve">98.6</t>
    </r>
    <r>
      <rPr>
        <sz val="10"/>
        <color rgb="FF1F2937"/>
        <rFont val="Noto Sans CJK SC"/>
        <family val="2"/>
      </rPr>
      <t xml:space="preserve">万，但月活跃仅</t>
    </r>
    <r>
      <rPr>
        <sz val="10"/>
        <color rgb="FF1F2937"/>
        <rFont val="Arial"/>
        <family val="0"/>
        <charset val="1"/>
      </rPr>
      <t xml:space="preserve">3.1</t>
    </r>
    <r>
      <rPr>
        <sz val="10"/>
        <color rgb="FF1F2937"/>
        <rFont val="Noto Sans CJK SC"/>
        <family val="2"/>
      </rPr>
      <t xml:space="preserve">万（活跃率</t>
    </r>
    <r>
      <rPr>
        <sz val="10"/>
        <color rgb="FF1F2937"/>
        <rFont val="Arial"/>
        <family val="0"/>
        <charset val="1"/>
      </rPr>
      <t xml:space="preserve">3.2%</t>
    </r>
    <r>
      <rPr>
        <sz val="10"/>
        <color rgb="FF1F2937"/>
        <rFont val="Noto Sans CJK SC"/>
        <family val="2"/>
      </rPr>
      <t xml:space="preserve">）。大量沉睡会员是未来唤醒的潜在池。</t>
    </r>
  </si>
  <si>
    <r>
      <rPr>
        <sz val="10"/>
        <color rgb="FF1F2937"/>
        <rFont val="Arial"/>
        <family val="0"/>
        <charset val="1"/>
      </rPr>
      <t xml:space="preserve">5. </t>
    </r>
    <r>
      <rPr>
        <sz val="10"/>
        <color rgb="FF1F2937"/>
        <rFont val="Noto Sans CJK SC"/>
        <family val="2"/>
      </rPr>
      <t xml:space="preserve">客单价</t>
    </r>
    <r>
      <rPr>
        <sz val="10"/>
        <color rgb="FF1F2937"/>
        <rFont val="Arial"/>
        <family val="0"/>
        <charset val="1"/>
      </rPr>
      <t xml:space="preserve">58.83</t>
    </r>
    <r>
      <rPr>
        <sz val="10"/>
        <color rgb="FF1F2937"/>
        <rFont val="Noto Sans CJK SC"/>
        <family val="2"/>
      </rPr>
      <t xml:space="preserve">元稳定，每提升</t>
    </r>
    <r>
      <rPr>
        <sz val="10"/>
        <color rgb="FF1F2937"/>
        <rFont val="Arial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次到店频次</t>
    </r>
    <r>
      <rPr>
        <sz val="10"/>
        <color rgb="FF1F2937"/>
        <rFont val="Arial"/>
        <family val="0"/>
        <charset val="1"/>
      </rPr>
      <t xml:space="preserve">=+58.83</t>
    </r>
    <r>
      <rPr>
        <sz val="10"/>
        <color rgb="FF1F2937"/>
        <rFont val="Noto Sans CJK SC"/>
        <family val="2"/>
      </rPr>
      <t xml:space="preserve">元增量收入。</t>
    </r>
  </si>
  <si>
    <r>
      <rPr>
        <b val="true"/>
        <sz val="11"/>
        <color rgb="FFFFFFFF"/>
        <rFont val="Noto Sans CJK SC"/>
        <family val="2"/>
      </rPr>
      <t xml:space="preserve">三、模型调整说明（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之前的通用模型）</t>
    </r>
  </si>
  <si>
    <t xml:space="preserve">调整项</t>
  </si>
  <si>
    <t xml:space="preserve">通用模型</t>
  </si>
  <si>
    <t xml:space="preserve">基于实际数据的调整</t>
  </si>
  <si>
    <t xml:space="preserve">调整原因</t>
  </si>
  <si>
    <t xml:space="preserve">提频幅度</t>
  </si>
  <si>
    <r>
      <rPr>
        <sz val="10"/>
        <color rgb="FF1F2937"/>
        <rFont val="Arial"/>
        <family val="0"/>
        <charset val="1"/>
      </rPr>
      <t xml:space="preserve">+0.7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</si>
  <si>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Arial"/>
        <family val="0"/>
        <charset val="1"/>
      </rPr>
      <t xml:space="preserve">+0.5</t>
    </r>
    <r>
      <rPr>
        <sz val="10"/>
        <color rgb="FF1F2937"/>
        <rFont val="Noto Sans CJK SC"/>
        <family val="2"/>
      </rPr>
      <t xml:space="preserve">次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</si>
  <si>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当前频次</t>
    </r>
    <r>
      <rPr>
        <sz val="10"/>
        <color rgb="FF1F2937"/>
        <rFont val="Arial"/>
        <family val="0"/>
        <charset val="1"/>
      </rPr>
      <t xml:space="preserve">1.35</t>
    </r>
    <r>
      <rPr>
        <sz val="10"/>
        <color rgb="FF1F2937"/>
        <rFont val="Noto Sans CJK SC"/>
        <family val="2"/>
      </rPr>
      <t xml:space="preserve">很低，</t>
    </r>
    <r>
      <rPr>
        <sz val="10"/>
        <color rgb="FF1F2937"/>
        <rFont val="Arial"/>
        <family val="0"/>
        <charset val="1"/>
      </rPr>
      <t xml:space="preserve">+0.5</t>
    </r>
    <r>
      <rPr>
        <sz val="10"/>
        <color rgb="FF1F2937"/>
        <rFont val="Noto Sans CJK SC"/>
        <family val="2"/>
      </rPr>
      <t xml:space="preserve">到</t>
    </r>
    <r>
      <rPr>
        <sz val="10"/>
        <color rgb="FF1F2937"/>
        <rFont val="Arial"/>
        <family val="0"/>
        <charset val="1"/>
      </rPr>
      <t xml:space="preserve">1.85</t>
    </r>
    <r>
      <rPr>
        <sz val="10"/>
        <color rgb="FF1F2937"/>
        <rFont val="Noto Sans CJK SC"/>
        <family val="2"/>
      </rPr>
      <t xml:space="preserve">已是有意义提升</t>
    </r>
  </si>
  <si>
    <t xml:space="preserve">沉睡会员唤醒</t>
  </si>
  <si>
    <t xml:space="preserve">适用</t>
  </si>
  <si>
    <t xml:space="preserve">暂不适用</t>
  </si>
  <si>
    <r>
      <rPr>
        <sz val="10"/>
        <color rgb="FF1F2937"/>
        <rFont val="Noto Sans CJK SC"/>
        <family val="2"/>
      </rPr>
      <t xml:space="preserve">企微好友</t>
    </r>
    <r>
      <rPr>
        <sz val="10"/>
        <color rgb="FF1F2937"/>
        <rFont val="Arial"/>
        <family val="0"/>
        <charset val="1"/>
      </rPr>
      <t xml:space="preserve">=0</t>
    </r>
    <r>
      <rPr>
        <sz val="10"/>
        <color rgb="FF1F2937"/>
        <rFont val="Noto Sans CJK SC"/>
        <family val="2"/>
      </rPr>
      <t xml:space="preserve">，无现有好友池可唤醒。积累后可启用</t>
    </r>
  </si>
  <si>
    <t xml:space="preserve">活跃好友基数</t>
  </si>
  <si>
    <t xml:space="preserve">企微好友总数</t>
  </si>
  <si>
    <r>
      <rPr>
        <sz val="10"/>
        <color rgb="FF1F2937"/>
        <rFont val="Noto Sans CJK SC"/>
        <family val="2"/>
      </rPr>
      <t xml:space="preserve">月拉新</t>
    </r>
    <r>
      <rPr>
        <sz val="10"/>
        <color rgb="FF1F2937"/>
        <rFont val="Arial"/>
        <family val="0"/>
        <charset val="1"/>
      </rPr>
      <t xml:space="preserve">×</t>
    </r>
    <r>
      <rPr>
        <sz val="10"/>
        <color rgb="FF1F2937"/>
        <rFont val="Noto Sans CJK SC"/>
        <family val="2"/>
      </rPr>
      <t xml:space="preserve">活跃率</t>
    </r>
    <r>
      <rPr>
        <sz val="10"/>
        <color rgb="FF1F2937"/>
        <rFont val="Arial"/>
        <family val="0"/>
        <charset val="1"/>
      </rPr>
      <t xml:space="preserve">×6</t>
    </r>
    <r>
      <rPr>
        <sz val="10"/>
        <color rgb="FF1F2937"/>
        <rFont val="Noto Sans CJK SC"/>
        <family val="2"/>
      </rPr>
      <t xml:space="preserve">个月</t>
    </r>
  </si>
  <si>
    <t xml:space="preserve">从零起步，用逐月积累中位数计算</t>
  </si>
  <si>
    <t xml:space="preserve">拉新规模</t>
  </si>
  <si>
    <t xml:space="preserve">需品牌提供</t>
  </si>
  <si>
    <r>
      <rPr>
        <sz val="10"/>
        <color rgb="FF1F2937"/>
        <rFont val="Noto Sans CJK SC"/>
        <family val="2"/>
      </rPr>
      <t xml:space="preserve">消费人数</t>
    </r>
    <r>
      <rPr>
        <sz val="10"/>
        <color rgb="FF1F2937"/>
        <rFont val="Arial"/>
        <family val="0"/>
        <charset val="1"/>
      </rPr>
      <t xml:space="preserve">×8%≈3,000</t>
    </r>
    <r>
      <rPr>
        <sz val="10"/>
        <color rgb="FF1F2937"/>
        <rFont val="Noto Sans CJK SC"/>
        <family val="2"/>
      </rPr>
      <t xml:space="preserve">人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</si>
  <si>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基于月均消费人数</t>
    </r>
    <r>
      <rPr>
        <sz val="10"/>
        <color rgb="FF1F2937"/>
        <rFont val="Arial"/>
        <family val="0"/>
        <charset val="1"/>
      </rPr>
      <t xml:space="preserve">37,023</t>
    </r>
    <r>
      <rPr>
        <sz val="10"/>
        <color rgb="FF1F2937"/>
        <rFont val="Noto Sans CJK SC"/>
        <family val="2"/>
      </rPr>
      <t xml:space="preserve">和行业</t>
    </r>
    <r>
      <rPr>
        <sz val="10"/>
        <color rgb="FF1F2937"/>
        <rFont val="Arial"/>
        <family val="0"/>
        <charset val="1"/>
      </rPr>
      <t xml:space="preserve">8%</t>
    </r>
    <r>
      <rPr>
        <sz val="10"/>
        <color rgb="FF1F2937"/>
        <rFont val="Noto Sans CJK SC"/>
        <family val="2"/>
      </rPr>
      <t xml:space="preserve">转化率</t>
    </r>
  </si>
  <si>
    <r>
      <rPr>
        <b val="true"/>
        <sz val="14"/>
        <color rgb="FFFFFFFF"/>
        <rFont val="Noto Sans CJK SC"/>
        <family val="2"/>
      </rPr>
      <t xml:space="preserve">山池咖啡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私域运营</t>
    </r>
    <r>
      <rPr>
        <b val="true"/>
        <sz val="14"/>
        <color rgb="FFFFFFFF"/>
        <rFont val="Arial"/>
        <family val="0"/>
        <charset val="1"/>
      </rPr>
      <t xml:space="preserve">ROI</t>
    </r>
    <r>
      <rPr>
        <b val="true"/>
        <sz val="14"/>
        <color rgb="FFFFFFFF"/>
        <rFont val="Noto Sans CJK SC"/>
        <family val="2"/>
      </rPr>
      <t xml:space="preserve">测算（基于实际数据）</t>
    </r>
  </si>
  <si>
    <t xml:space="preserve">一、品牌基准参数（从品牌数据自动引用）</t>
  </si>
  <si>
    <t xml:space="preserve">公式说明</t>
  </si>
  <si>
    <r>
      <rPr>
        <i val="true"/>
        <sz val="9"/>
        <color rgb="FF888888"/>
        <rFont val="Noto Sans CJK SC"/>
        <family val="2"/>
      </rPr>
      <t xml:space="preserve">月均到店消费人数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SC"/>
        <family val="2"/>
      </rPr>
      <t xml:space="preserve">拉新流量池</t>
    </r>
  </si>
  <si>
    <t xml:space="preserve">月均客单价（元）</t>
  </si>
  <si>
    <r>
      <rPr>
        <i val="true"/>
        <sz val="9"/>
        <color rgb="FF888888"/>
        <rFont val="Noto Sans CJK SC"/>
        <family val="2"/>
      </rPr>
      <t xml:space="preserve">增量</t>
    </r>
    <r>
      <rPr>
        <i val="true"/>
        <sz val="9"/>
        <color rgb="FF888888"/>
        <rFont val="Arial"/>
        <family val="0"/>
        <charset val="1"/>
      </rPr>
      <t xml:space="preserve">GMV</t>
    </r>
    <r>
      <rPr>
        <i val="true"/>
        <sz val="9"/>
        <color rgb="FF888888"/>
        <rFont val="Noto Sans CJK SC"/>
        <family val="2"/>
      </rPr>
      <t xml:space="preserve">乘数：每多</t>
    </r>
    <r>
      <rPr>
        <i val="true"/>
        <sz val="9"/>
        <color rgb="FF888888"/>
        <rFont val="Arial"/>
        <family val="0"/>
        <charset val="1"/>
      </rPr>
      <t xml:space="preserve">1</t>
    </r>
    <r>
      <rPr>
        <i val="true"/>
        <sz val="9"/>
        <color rgb="FF888888"/>
        <rFont val="Noto Sans CJK SC"/>
        <family val="2"/>
      </rPr>
      <t xml:space="preserve">次到店</t>
    </r>
    <r>
      <rPr>
        <i val="true"/>
        <sz val="9"/>
        <color rgb="FF888888"/>
        <rFont val="Arial"/>
        <family val="0"/>
        <charset val="1"/>
      </rPr>
      <t xml:space="preserve">=+</t>
    </r>
    <r>
      <rPr>
        <i val="true"/>
        <sz val="9"/>
        <color rgb="FF888888"/>
        <rFont val="Noto Sans CJK SC"/>
        <family val="2"/>
      </rPr>
      <t xml:space="preserve">客单价</t>
    </r>
  </si>
  <si>
    <t xml:space="preserve">辅助：门店经营规模</t>
  </si>
  <si>
    <t xml:space="preserve">辅助：单店效率颗粒度</t>
  </si>
  <si>
    <r>
      <rPr>
        <i val="true"/>
        <sz val="9"/>
        <color rgb="FF888888"/>
        <rFont val="Noto Sans CJK SC"/>
        <family val="2"/>
      </rPr>
      <t xml:space="preserve">会员存量池：</t>
    </r>
    <r>
      <rPr>
        <i val="true"/>
        <sz val="9"/>
        <color rgb="FF888888"/>
        <rFont val="Arial"/>
        <family val="0"/>
        <charset val="1"/>
      </rPr>
      <t xml:space="preserve">98.6</t>
    </r>
    <r>
      <rPr>
        <i val="true"/>
        <sz val="9"/>
        <color rgb="FF888888"/>
        <rFont val="Noto Sans CJK SC"/>
        <family val="2"/>
      </rPr>
      <t xml:space="preserve">万（活跃率仅</t>
    </r>
    <r>
      <rPr>
        <i val="true"/>
        <sz val="9"/>
        <color rgb="FF888888"/>
        <rFont val="Arial"/>
        <family val="0"/>
        <charset val="1"/>
      </rPr>
      <t xml:space="preserve">3.2%</t>
    </r>
    <r>
      <rPr>
        <i val="true"/>
        <sz val="9"/>
        <color rgb="FF888888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</si>
  <si>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会员月活跃</t>
    </r>
    <r>
      <rPr>
        <i val="true"/>
        <sz val="9"/>
        <color rgb="FF888888"/>
        <rFont val="Arial"/>
        <family val="0"/>
        <charset val="1"/>
      </rPr>
      <t xml:space="preserve">3.1</t>
    </r>
    <r>
      <rPr>
        <i val="true"/>
        <sz val="9"/>
        <color rgb="FF888888"/>
        <rFont val="Noto Sans CJK SC"/>
        <family val="2"/>
      </rPr>
      <t xml:space="preserve">万人</t>
    </r>
  </si>
  <si>
    <r>
      <rPr>
        <sz val="10"/>
        <color rgb="FF1F2937"/>
        <rFont val="Noto Sans CJK SC"/>
        <family val="2"/>
      </rPr>
      <t xml:space="preserve">会员消费频次（次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月）</t>
    </r>
  </si>
  <si>
    <r>
      <rPr>
        <i val="true"/>
        <sz val="9"/>
        <color rgb="FF888888"/>
        <rFont val="Noto Sans CJK SC"/>
        <family val="2"/>
      </rPr>
      <t xml:space="preserve">当前</t>
    </r>
    <r>
      <rPr>
        <i val="true"/>
        <sz val="9"/>
        <color rgb="FF888888"/>
        <rFont val="Arial"/>
        <family val="0"/>
        <charset val="1"/>
      </rPr>
      <t xml:space="preserve">1.35</t>
    </r>
    <r>
      <rPr>
        <i val="true"/>
        <sz val="9"/>
        <color rgb="FF888888"/>
        <rFont val="Noto Sans CJK SC"/>
        <family val="2"/>
      </rPr>
      <t xml:space="preserve">次，行业均值</t>
    </r>
    <r>
      <rPr>
        <i val="true"/>
        <sz val="9"/>
        <color rgb="FF888888"/>
        <rFont val="Arial"/>
        <family val="0"/>
        <charset val="1"/>
      </rPr>
      <t xml:space="preserve">2.25</t>
    </r>
    <r>
      <rPr>
        <i val="true"/>
        <sz val="9"/>
        <color rgb="FF888888"/>
        <rFont val="Noto Sans CJK SC"/>
        <family val="2"/>
      </rPr>
      <t xml:space="preserve">次</t>
    </r>
  </si>
  <si>
    <t xml:space="preserve">人均拉新成本（元）</t>
  </si>
  <si>
    <r>
      <rPr>
        <i val="true"/>
        <sz val="9"/>
        <color rgb="FF888888"/>
        <rFont val="Noto Sans CJK SC"/>
        <family val="2"/>
      </rPr>
      <t xml:space="preserve">企微拉新激励成本（利益点），品牌未提供，按行业均值</t>
    </r>
    <r>
      <rPr>
        <i val="true"/>
        <sz val="9"/>
        <color rgb="FF888888"/>
        <rFont val="Arial"/>
        <family val="0"/>
        <charset val="1"/>
      </rPr>
      <t xml:space="preserve">0.5</t>
    </r>
    <r>
      <rPr>
        <i val="true"/>
        <sz val="9"/>
        <color rgb="FF888888"/>
        <rFont val="Noto Sans CJK SC"/>
        <family val="2"/>
      </rPr>
      <t xml:space="preserve">元假设</t>
    </r>
  </si>
  <si>
    <t xml:space="preserve">二、拉新假设参数（蓝色可调整）</t>
  </si>
  <si>
    <t xml:space="preserve">假设指标</t>
  </si>
  <si>
    <t xml:space="preserve">默认值</t>
  </si>
  <si>
    <t xml:space="preserve">设定依据</t>
  </si>
  <si>
    <t xml:space="preserve">企微转化率</t>
  </si>
  <si>
    <r>
      <rPr>
        <i val="true"/>
        <sz val="9"/>
        <color rgb="FF888888"/>
        <rFont val="Noto Sans CJK SC"/>
        <family val="2"/>
      </rPr>
      <t xml:space="preserve">月均消费人数的</t>
    </r>
    <r>
      <rPr>
        <i val="true"/>
        <sz val="9"/>
        <color rgb="FF888888"/>
        <rFont val="Arial"/>
        <family val="0"/>
        <charset val="1"/>
      </rPr>
      <t xml:space="preserve">8%</t>
    </r>
    <r>
      <rPr>
        <i val="true"/>
        <sz val="9"/>
        <color rgb="FF888888"/>
        <rFont val="Noto Sans CJK SC"/>
        <family val="2"/>
      </rPr>
      <t xml:space="preserve">，约</t>
    </r>
    <r>
      <rPr>
        <i val="true"/>
        <sz val="9"/>
        <color rgb="FF888888"/>
        <rFont val="Arial"/>
        <family val="0"/>
        <charset val="1"/>
      </rPr>
      <t xml:space="preserve">3,000</t>
    </r>
    <r>
      <rPr>
        <i val="true"/>
        <sz val="9"/>
        <color rgb="FF888888"/>
        <rFont val="Noto Sans CJK SC"/>
        <family val="2"/>
      </rPr>
      <t xml:space="preserve">人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Noto Sans CJK SC"/>
        <family val="2"/>
      </rPr>
      <t xml:space="preserve">月</t>
    </r>
  </si>
  <si>
    <t xml:space="preserve">月拉新目标（人）</t>
  </si>
  <si>
    <r>
      <rPr>
        <i val="true"/>
        <sz val="9"/>
        <color rgb="FF888888"/>
        <rFont val="Noto Sans CJK SC"/>
        <family val="2"/>
      </rPr>
      <t xml:space="preserve">消费人数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企微转化率</t>
    </r>
  </si>
  <si>
    <t xml:space="preserve">活跃率</t>
  </si>
  <si>
    <t xml:space="preserve">拉新好友中持续活跃的比例</t>
  </si>
  <si>
    <t xml:space="preserve">平均运营月数</t>
  </si>
  <si>
    <r>
      <rPr>
        <i val="true"/>
        <sz val="9"/>
        <color rgb="FF888888"/>
        <rFont val="Noto Sans CJK SC"/>
        <family val="2"/>
      </rPr>
      <t xml:space="preserve">逐月积累的中位数（</t>
    </r>
    <r>
      <rPr>
        <i val="true"/>
        <sz val="9"/>
        <color rgb="FF888888"/>
        <rFont val="Arial"/>
        <family val="0"/>
        <charset val="1"/>
      </rPr>
      <t xml:space="preserve">1-12</t>
    </r>
    <r>
      <rPr>
        <i val="true"/>
        <sz val="9"/>
        <color rgb="FF888888"/>
        <rFont val="Noto Sans CJK SC"/>
        <family val="2"/>
      </rPr>
      <t xml:space="preserve">月中位</t>
    </r>
    <r>
      <rPr>
        <i val="true"/>
        <sz val="9"/>
        <color rgb="FF888888"/>
        <rFont val="Arial"/>
        <family val="0"/>
        <charset val="1"/>
      </rPr>
      <t xml:space="preserve">=6</t>
    </r>
    <r>
      <rPr>
        <i val="true"/>
        <sz val="9"/>
        <color rgb="FF888888"/>
        <rFont val="Noto Sans CJK SC"/>
        <family val="2"/>
      </rPr>
      <t xml:space="preserve">）</t>
    </r>
  </si>
  <si>
    <t xml:space="preserve">三、运营假设参数（蓝色可调整）</t>
  </si>
  <si>
    <r>
      <rPr>
        <sz val="10"/>
        <color rgb="FF0000FF"/>
        <rFont val="Noto Sans CJK SC"/>
        <family val="2"/>
      </rPr>
      <t xml:space="preserve">提频幅度（次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月）</t>
    </r>
  </si>
  <si>
    <r>
      <rPr>
        <i val="true"/>
        <sz val="9"/>
        <color rgb="FF888888"/>
        <rFont val="Noto Sans CJK SC"/>
        <family val="2"/>
      </rPr>
      <t xml:space="preserve">从</t>
    </r>
    <r>
      <rPr>
        <i val="true"/>
        <sz val="9"/>
        <color rgb="FF888888"/>
        <rFont val="Arial"/>
        <family val="0"/>
        <charset val="1"/>
      </rPr>
      <t xml:space="preserve">1.35→1.85</t>
    </r>
    <r>
      <rPr>
        <i val="true"/>
        <sz val="9"/>
        <color rgb="FF888888"/>
        <rFont val="Noto Sans CJK SC"/>
        <family val="2"/>
      </rPr>
      <t xml:space="preserve">次，保守估计（之前通用模型用</t>
    </r>
    <r>
      <rPr>
        <i val="true"/>
        <sz val="9"/>
        <color rgb="FF888888"/>
        <rFont val="Arial"/>
        <family val="0"/>
        <charset val="1"/>
      </rPr>
      <t xml:space="preserve">0.7</t>
    </r>
    <r>
      <rPr>
        <i val="true"/>
        <sz val="9"/>
        <color rgb="FF888888"/>
        <rFont val="Noto Sans CJK SC"/>
        <family val="2"/>
      </rPr>
      <t xml:space="preserve">，此处下调）</t>
    </r>
  </si>
  <si>
    <t xml:space="preserve">新品触达转化率</t>
  </si>
  <si>
    <t xml:space="preserve">精准推送后额外消费的转化</t>
  </si>
  <si>
    <t xml:space="preserve">连带提升率</t>
  </si>
  <si>
    <t xml:space="preserve">到店后多消费的比例</t>
  </si>
  <si>
    <t xml:space="preserve">连带增额系数</t>
  </si>
  <si>
    <r>
      <rPr>
        <i val="true"/>
        <sz val="9"/>
        <color rgb="FF888888"/>
        <rFont val="Noto Sans CJK SC"/>
        <family val="2"/>
      </rPr>
      <t xml:space="preserve">连带消费额≈客单价的</t>
    </r>
    <r>
      <rPr>
        <i val="true"/>
        <sz val="9"/>
        <color rgb="FF888888"/>
        <rFont val="Arial"/>
        <family val="0"/>
        <charset val="1"/>
      </rPr>
      <t xml:space="preserve">30%</t>
    </r>
  </si>
  <si>
    <t xml:space="preserve">毛利率</t>
  </si>
  <si>
    <t xml:space="preserve">咖啡行业均值</t>
  </si>
  <si>
    <r>
      <rPr>
        <sz val="10"/>
        <color rgb="FF0000FF"/>
        <rFont val="Arial"/>
        <family val="0"/>
        <charset val="1"/>
      </rPr>
      <t xml:space="preserve">SaaS</t>
    </r>
    <r>
      <rPr>
        <sz val="10"/>
        <color rgb="FF0000FF"/>
        <rFont val="Noto Sans CJK SC"/>
        <family val="2"/>
      </rPr>
      <t xml:space="preserve">年费（元）</t>
    </r>
  </si>
  <si>
    <r>
      <rPr>
        <i val="true"/>
        <sz val="9"/>
        <color rgb="FF888888"/>
        <rFont val="Arial"/>
        <family val="0"/>
        <charset val="1"/>
      </rPr>
      <t xml:space="preserve">iCC SCRM</t>
    </r>
    <r>
      <rPr>
        <i val="true"/>
        <sz val="9"/>
        <color rgb="FF888888"/>
        <rFont val="Noto Sans CJK SC"/>
        <family val="2"/>
      </rPr>
      <t xml:space="preserve">工具年费，待确认</t>
    </r>
  </si>
  <si>
    <t xml:space="preserve">月运营人力成本（元）</t>
  </si>
  <si>
    <t xml:space="preserve">品牌侧配合人力，待确认</t>
  </si>
  <si>
    <t xml:space="preserve">四、衍生指标（自动计算）</t>
  </si>
  <si>
    <t xml:space="preserve">衍生指标</t>
  </si>
  <si>
    <t xml:space="preserve">计算结果</t>
  </si>
  <si>
    <t xml:space="preserve">年均活跃好友数</t>
  </si>
  <si>
    <r>
      <rPr>
        <i val="true"/>
        <sz val="9"/>
        <color rgb="FF888888"/>
        <rFont val="Noto Sans CJK SC"/>
        <family val="2"/>
      </rPr>
      <t xml:space="preserve">月拉新</t>
    </r>
    <r>
      <rPr>
        <i val="true"/>
        <sz val="9"/>
        <color rgb="FF888888"/>
        <rFont val="Arial"/>
        <family val="0"/>
        <charset val="1"/>
      </rPr>
      <t xml:space="preserve">×</t>
    </r>
    <r>
      <rPr>
        <i val="true"/>
        <sz val="9"/>
        <color rgb="FF888888"/>
        <rFont val="Noto Sans CJK SC"/>
        <family val="2"/>
      </rPr>
      <t xml:space="preserve">活跃率</t>
    </r>
    <r>
      <rPr>
        <i val="true"/>
        <sz val="9"/>
        <color rgb="FF888888"/>
        <rFont val="Arial"/>
        <family val="0"/>
        <charset val="1"/>
      </rPr>
      <t xml:space="preserve">×</t>
    </r>
    <r>
      <rPr>
        <i val="true"/>
        <sz val="9"/>
        <color rgb="FF888888"/>
        <rFont val="Noto Sans CJK SC"/>
        <family val="2"/>
      </rPr>
      <t xml:space="preserve">平均运营月数（逐月积累）</t>
    </r>
  </si>
  <si>
    <t xml:space="preserve">年新增企微好友</t>
  </si>
  <si>
    <r>
      <rPr>
        <i val="true"/>
        <sz val="9"/>
        <color rgb="FF888888"/>
        <rFont val="Noto Sans CJK SC"/>
        <family val="2"/>
      </rPr>
      <t xml:space="preserve">月拉新</t>
    </r>
    <r>
      <rPr>
        <i val="true"/>
        <sz val="9"/>
        <color rgb="FF888888"/>
        <rFont val="Arial"/>
        <family val="0"/>
        <charset val="1"/>
      </rPr>
      <t xml:space="preserve">×12</t>
    </r>
    <r>
      <rPr>
        <i val="true"/>
        <sz val="9"/>
        <color rgb="FF888888"/>
        <rFont val="Noto Sans CJK SC"/>
        <family val="2"/>
      </rPr>
      <t xml:space="preserve">个月</t>
    </r>
  </si>
  <si>
    <t xml:space="preserve">会员活跃率</t>
  </si>
  <si>
    <r>
      <rPr>
        <i val="true"/>
        <sz val="9"/>
        <color rgb="FF888888"/>
        <rFont val="Noto Sans CJK SC"/>
        <family val="2"/>
      </rPr>
      <t xml:space="preserve">月均消费会员</t>
    </r>
    <r>
      <rPr>
        <i val="true"/>
        <sz val="9"/>
        <color rgb="FF888888"/>
        <rFont val="Arial"/>
        <family val="0"/>
        <charset val="1"/>
      </rPr>
      <t xml:space="preserve">÷</t>
    </r>
    <r>
      <rPr>
        <i val="true"/>
        <sz val="9"/>
        <color rgb="FF888888"/>
        <rFont val="Noto Sans CJK SC"/>
        <family val="2"/>
      </rPr>
      <t xml:space="preserve">会员体量（≈</t>
    </r>
    <r>
      <rPr>
        <i val="true"/>
        <sz val="9"/>
        <color rgb="FF888888"/>
        <rFont val="Arial"/>
        <family val="0"/>
        <charset val="1"/>
      </rPr>
      <t xml:space="preserve">3.2%</t>
    </r>
    <r>
      <rPr>
        <i val="true"/>
        <sz val="9"/>
        <color rgb="FF888888"/>
        <rFont val="Noto Sans CJK SC"/>
        <family val="2"/>
      </rPr>
      <t xml:space="preserve">）</t>
    </r>
  </si>
  <si>
    <t xml:space="preserve">行业频次差距</t>
  </si>
  <si>
    <r>
      <rPr>
        <i val="true"/>
        <sz val="9"/>
        <color rgb="FF888888"/>
        <rFont val="Noto Sans CJK SC"/>
        <family val="2"/>
      </rPr>
      <t xml:space="preserve">行业均值</t>
    </r>
    <r>
      <rPr>
        <i val="true"/>
        <sz val="9"/>
        <color rgb="FF888888"/>
        <rFont val="Arial"/>
        <family val="0"/>
        <charset val="1"/>
      </rPr>
      <t xml:space="preserve">2.25 - </t>
    </r>
    <r>
      <rPr>
        <i val="true"/>
        <sz val="9"/>
        <color rgb="FF888888"/>
        <rFont val="Noto Sans CJK SC"/>
        <family val="2"/>
      </rPr>
      <t xml:space="preserve">当前</t>
    </r>
    <r>
      <rPr>
        <i val="true"/>
        <sz val="9"/>
        <color rgb="FF888888"/>
        <rFont val="Arial"/>
        <family val="0"/>
        <charset val="1"/>
      </rPr>
      <t xml:space="preserve">1.35 = 0.9</t>
    </r>
    <r>
      <rPr>
        <i val="true"/>
        <sz val="9"/>
        <color rgb="FF888888"/>
        <rFont val="Noto Sans CJK SC"/>
        <family val="2"/>
      </rPr>
      <t xml:space="preserve">次</t>
    </r>
  </si>
  <si>
    <r>
      <rPr>
        <b val="true"/>
        <sz val="11"/>
        <color rgb="FFFFFFFF"/>
        <rFont val="Noto Sans CJK SC"/>
        <family val="2"/>
      </rPr>
      <t xml:space="preserve">五、月增量</t>
    </r>
    <r>
      <rPr>
        <b val="true"/>
        <sz val="11"/>
        <color rgb="FFFFFFFF"/>
        <rFont val="Arial"/>
        <family val="0"/>
        <charset val="1"/>
      </rPr>
      <t xml:space="preserve">GMV</t>
    </r>
    <r>
      <rPr>
        <b val="true"/>
        <sz val="11"/>
        <color rgb="FFFFFFFF"/>
        <rFont val="Noto Sans CJK SC"/>
        <family val="2"/>
      </rPr>
      <t xml:space="preserve">测算</t>
    </r>
  </si>
  <si>
    <t xml:space="preserve">增量来源</t>
  </si>
  <si>
    <r>
      <rPr>
        <b val="true"/>
        <sz val="9"/>
        <color rgb="FF666666"/>
        <rFont val="Noto Sans CJK SC"/>
        <family val="2"/>
      </rPr>
      <t xml:space="preserve">月增量</t>
    </r>
    <r>
      <rPr>
        <b val="true"/>
        <sz val="9"/>
        <color rgb="FF666666"/>
        <rFont val="Arial"/>
        <family val="0"/>
        <charset val="1"/>
      </rPr>
      <t xml:space="preserve">GMV</t>
    </r>
  </si>
  <si>
    <t xml:space="preserve">计算逻辑</t>
  </si>
  <si>
    <t xml:space="preserve">① 到店频次提升</t>
  </si>
  <si>
    <r>
      <rPr>
        <i val="true"/>
        <sz val="9"/>
        <color rgb="FF888888"/>
        <rFont val="Noto Sans CJK SC"/>
        <family val="2"/>
      </rPr>
      <t xml:space="preserve">年均活跃好友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提频幅度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客单价</t>
    </r>
  </si>
  <si>
    <t xml:space="preserve">② 沉睡会员唤醒</t>
  </si>
  <si>
    <r>
      <rPr>
        <i val="true"/>
        <sz val="9"/>
        <color rgb="FF888888"/>
        <rFont val="Noto Sans CJK SC"/>
        <family val="2"/>
      </rPr>
      <t xml:space="preserve">当前企微好友</t>
    </r>
    <r>
      <rPr>
        <i val="true"/>
        <sz val="9"/>
        <color rgb="FF888888"/>
        <rFont val="Arial"/>
        <family val="0"/>
        <charset val="1"/>
      </rPr>
      <t xml:space="preserve">=0</t>
    </r>
    <r>
      <rPr>
        <i val="true"/>
        <sz val="9"/>
        <color rgb="FF888888"/>
        <rFont val="Noto Sans CJK SC"/>
        <family val="2"/>
      </rPr>
      <t xml:space="preserve">，无现有池可唤醒（积累后可启用）</t>
    </r>
  </si>
  <si>
    <t xml:space="preserve">③ 新品转化</t>
  </si>
  <si>
    <r>
      <rPr>
        <i val="true"/>
        <sz val="9"/>
        <color rgb="FF888888"/>
        <rFont val="Noto Sans CJK SC"/>
        <family val="2"/>
      </rPr>
      <t xml:space="preserve">年均活跃好友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新品转化率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客单价</t>
    </r>
  </si>
  <si>
    <t xml:space="preserve">④ 连带提升</t>
  </si>
  <si>
    <r>
      <rPr>
        <i val="true"/>
        <sz val="9"/>
        <color rgb="FF888888"/>
        <rFont val="Noto Sans CJK SC"/>
        <family val="2"/>
      </rPr>
      <t xml:space="preserve">年均活跃好友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连带率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客单价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Noto Sans CJK SC"/>
        <family val="2"/>
      </rPr>
      <t xml:space="preserve">系数</t>
    </r>
  </si>
  <si>
    <r>
      <rPr>
        <b val="true"/>
        <sz val="10"/>
        <color rgb="FF1F2937"/>
        <rFont val="Noto Sans CJK SC"/>
        <family val="2"/>
      </rPr>
      <t xml:space="preserve">月增量</t>
    </r>
    <r>
      <rPr>
        <b val="true"/>
        <sz val="10"/>
        <color rgb="FF1F2937"/>
        <rFont val="Arial"/>
        <family val="0"/>
        <charset val="1"/>
      </rPr>
      <t xml:space="preserve">GMV</t>
    </r>
    <r>
      <rPr>
        <b val="true"/>
        <sz val="10"/>
        <color rgb="FF1F2937"/>
        <rFont val="Noto Sans CJK SC"/>
        <family val="2"/>
      </rPr>
      <t xml:space="preserve">合计</t>
    </r>
  </si>
  <si>
    <t xml:space="preserve">四项增量之和</t>
  </si>
  <si>
    <r>
      <rPr>
        <b val="true"/>
        <sz val="10"/>
        <color rgb="FF1F2937"/>
        <rFont val="Noto Sans CJK SC"/>
        <family val="2"/>
      </rPr>
      <t xml:space="preserve">年增量</t>
    </r>
    <r>
      <rPr>
        <b val="true"/>
        <sz val="10"/>
        <color rgb="FF1F2937"/>
        <rFont val="Arial"/>
        <family val="0"/>
        <charset val="1"/>
      </rPr>
      <t xml:space="preserve">GMV</t>
    </r>
  </si>
  <si>
    <r>
      <rPr>
        <i val="true"/>
        <sz val="9"/>
        <color rgb="FF888888"/>
        <rFont val="Noto Sans CJK SC"/>
        <family val="2"/>
      </rPr>
      <t xml:space="preserve">月增量</t>
    </r>
    <r>
      <rPr>
        <i val="true"/>
        <sz val="9"/>
        <color rgb="FF888888"/>
        <rFont val="Arial"/>
        <family val="0"/>
        <charset val="1"/>
      </rPr>
      <t xml:space="preserve">×12</t>
    </r>
    <r>
      <rPr>
        <i val="true"/>
        <sz val="9"/>
        <color rgb="FF888888"/>
        <rFont val="Noto Sans CJK SC"/>
        <family val="2"/>
      </rPr>
      <t xml:space="preserve">个月</t>
    </r>
  </si>
  <si>
    <t xml:space="preserve">六、投入成本</t>
  </si>
  <si>
    <t xml:space="preserve">成本项</t>
  </si>
  <si>
    <t xml:space="preserve">年度金额</t>
  </si>
  <si>
    <t xml:space="preserve">年拉新成本</t>
  </si>
  <si>
    <r>
      <rPr>
        <i val="true"/>
        <sz val="9"/>
        <color rgb="FF888888"/>
        <rFont val="Noto Sans CJK SC"/>
        <family val="2"/>
      </rPr>
      <t xml:space="preserve">年拉新人数</t>
    </r>
    <r>
      <rPr>
        <i val="true"/>
        <sz val="9"/>
        <color rgb="FF888888"/>
        <rFont val="Arial"/>
        <family val="0"/>
        <charset val="1"/>
      </rPr>
      <t xml:space="preserve">×</t>
    </r>
    <r>
      <rPr>
        <i val="true"/>
        <sz val="9"/>
        <color rgb="FF888888"/>
        <rFont val="Noto Sans CJK SC"/>
        <family val="2"/>
      </rPr>
      <t xml:space="preserve">人均拉新成本</t>
    </r>
  </si>
  <si>
    <r>
      <rPr>
        <sz val="10"/>
        <color rgb="FF1F2937"/>
        <rFont val="Arial"/>
        <family val="0"/>
        <charset val="1"/>
      </rPr>
      <t xml:space="preserve">SaaS</t>
    </r>
    <r>
      <rPr>
        <sz val="10"/>
        <color rgb="FF1F2937"/>
        <rFont val="Noto Sans CJK SC"/>
        <family val="2"/>
      </rPr>
      <t xml:space="preserve">年费</t>
    </r>
  </si>
  <si>
    <r>
      <rPr>
        <i val="true"/>
        <sz val="9"/>
        <color rgb="FF888888"/>
        <rFont val="Noto Sans CJK SC"/>
        <family val="2"/>
      </rPr>
      <t xml:space="preserve">企微</t>
    </r>
    <r>
      <rPr>
        <i val="true"/>
        <sz val="9"/>
        <color rgb="FF888888"/>
        <rFont val="Arial"/>
        <family val="0"/>
        <charset val="1"/>
      </rPr>
      <t xml:space="preserve">SCRM</t>
    </r>
    <r>
      <rPr>
        <i val="true"/>
        <sz val="9"/>
        <color rgb="FF888888"/>
        <rFont val="Noto Sans CJK SC"/>
        <family val="2"/>
      </rPr>
      <t xml:space="preserve">工具年费</t>
    </r>
  </si>
  <si>
    <t xml:space="preserve">年运营人力</t>
  </si>
  <si>
    <r>
      <rPr>
        <i val="true"/>
        <sz val="9"/>
        <color rgb="FF888888"/>
        <rFont val="Noto Sans CJK SC"/>
        <family val="2"/>
      </rPr>
      <t xml:space="preserve">月人力</t>
    </r>
    <r>
      <rPr>
        <i val="true"/>
        <sz val="9"/>
        <color rgb="FF888888"/>
        <rFont val="Arial"/>
        <family val="0"/>
        <charset val="1"/>
      </rPr>
      <t xml:space="preserve">×12</t>
    </r>
  </si>
  <si>
    <t xml:space="preserve">总投入成本</t>
  </si>
  <si>
    <t xml:space="preserve">三项成本之和</t>
  </si>
  <si>
    <r>
      <rPr>
        <b val="true"/>
        <sz val="11"/>
        <color rgb="FFFFFFFF"/>
        <rFont val="Noto Sans CJK SC"/>
        <family val="2"/>
      </rPr>
      <t xml:space="preserve">七、</t>
    </r>
    <r>
      <rPr>
        <b val="true"/>
        <sz val="11"/>
        <color rgb="FFFFFFFF"/>
        <rFont val="Arial"/>
        <family val="0"/>
        <charset val="1"/>
      </rPr>
      <t xml:space="preserve">ROI</t>
    </r>
    <r>
      <rPr>
        <b val="true"/>
        <sz val="11"/>
        <color rgb="FFFFFFFF"/>
        <rFont val="Noto Sans CJK SC"/>
        <family val="2"/>
      </rPr>
      <t xml:space="preserve">测算结果</t>
    </r>
  </si>
  <si>
    <t xml:space="preserve">年增量毛利</t>
  </si>
  <si>
    <r>
      <rPr>
        <i val="true"/>
        <sz val="9"/>
        <color rgb="FF888888"/>
        <rFont val="Noto Sans CJK SC"/>
        <family val="2"/>
      </rPr>
      <t xml:space="preserve">年增量</t>
    </r>
    <r>
      <rPr>
        <i val="true"/>
        <sz val="9"/>
        <color rgb="FF888888"/>
        <rFont val="Arial"/>
        <family val="0"/>
        <charset val="1"/>
      </rPr>
      <t xml:space="preserve">GMV × </t>
    </r>
    <r>
      <rPr>
        <i val="true"/>
        <sz val="9"/>
        <color rgb="FF888888"/>
        <rFont val="Noto Sans CJK SC"/>
        <family val="2"/>
      </rPr>
      <t xml:space="preserve">毛利率</t>
    </r>
  </si>
  <si>
    <t xml:space="preserve">年净收益</t>
  </si>
  <si>
    <r>
      <rPr>
        <i val="true"/>
        <sz val="9"/>
        <color rgb="FF888888"/>
        <rFont val="Noto Sans CJK SC"/>
        <family val="2"/>
      </rPr>
      <t xml:space="preserve">年增量毛利 </t>
    </r>
    <r>
      <rPr>
        <i val="true"/>
        <sz val="9"/>
        <color rgb="FF888888"/>
        <rFont val="Arial"/>
        <family val="0"/>
        <charset val="1"/>
      </rPr>
      <t xml:space="preserve">- </t>
    </r>
    <r>
      <rPr>
        <i val="true"/>
        <sz val="9"/>
        <color rgb="FF888888"/>
        <rFont val="Noto Sans CJK SC"/>
        <family val="2"/>
      </rPr>
      <t xml:space="preserve">总投入成本</t>
    </r>
  </si>
  <si>
    <t xml:space="preserve">ROI</t>
  </si>
  <si>
    <r>
      <rPr>
        <i val="true"/>
        <sz val="9"/>
        <color rgb="FF888888"/>
        <rFont val="Noto Sans CJK SC"/>
        <family val="2"/>
      </rPr>
      <t xml:space="preserve">年净收益 </t>
    </r>
    <r>
      <rPr>
        <i val="true"/>
        <sz val="9"/>
        <color rgb="FF888888"/>
        <rFont val="Arial"/>
        <family val="0"/>
        <charset val="1"/>
      </rPr>
      <t xml:space="preserve">÷ </t>
    </r>
    <r>
      <rPr>
        <i val="true"/>
        <sz val="9"/>
        <color rgb="FF888888"/>
        <rFont val="Noto Sans CJK SC"/>
        <family val="2"/>
      </rPr>
      <t xml:space="preserve">总投入成本</t>
    </r>
  </si>
  <si>
    <t xml:space="preserve">八、场景分析（调整拉新目标看不同效果）</t>
  </si>
  <si>
    <t xml:space="preserve">场景</t>
  </si>
  <si>
    <t xml:space="preserve">月拉新目标</t>
  </si>
  <si>
    <t xml:space="preserve">年均活跃好友</t>
  </si>
  <si>
    <r>
      <rPr>
        <b val="true"/>
        <sz val="9"/>
        <color rgb="FFFFFFFF"/>
        <rFont val="Noto Sans CJK SC"/>
        <family val="2"/>
      </rPr>
      <t xml:space="preserve">年增量</t>
    </r>
    <r>
      <rPr>
        <b val="true"/>
        <sz val="9"/>
        <color rgb="FFFFFFFF"/>
        <rFont val="Arial"/>
        <family val="0"/>
        <charset val="1"/>
      </rPr>
      <t xml:space="preserve">GMV</t>
    </r>
  </si>
  <si>
    <t xml:space="preserve">总投入</t>
  </si>
  <si>
    <t xml:space="preserve">保守</t>
  </si>
  <si>
    <t xml:space="preserve">基准</t>
  </si>
  <si>
    <t xml:space="preserve">乐观</t>
  </si>
  <si>
    <t xml:space="preserve">九、逐月积累模拟（基准场景）</t>
  </si>
  <si>
    <t xml:space="preserve">当月拉新</t>
  </si>
  <si>
    <t xml:space="preserve">累计拉新</t>
  </si>
  <si>
    <t xml:space="preserve">当月活跃好友</t>
  </si>
  <si>
    <r>
      <rPr>
        <b val="true"/>
        <sz val="9"/>
        <color rgb="FFFFFFFF"/>
        <rFont val="Noto Sans CJK SC"/>
        <family val="2"/>
      </rPr>
      <t xml:space="preserve">当月增量</t>
    </r>
    <r>
      <rPr>
        <b val="true"/>
        <sz val="9"/>
        <color rgb="FFFFFFFF"/>
        <rFont val="Arial"/>
        <family val="0"/>
        <charset val="1"/>
      </rPr>
      <t xml:space="preserve">GMV</t>
    </r>
  </si>
  <si>
    <r>
      <rPr>
        <b val="true"/>
        <sz val="9"/>
        <color rgb="FFFFFFFF"/>
        <rFont val="Noto Sans CJK SC"/>
        <family val="2"/>
      </rPr>
      <t xml:space="preserve">累计增量</t>
    </r>
    <r>
      <rPr>
        <b val="true"/>
        <sz val="9"/>
        <color rgb="FFFFFFFF"/>
        <rFont val="Arial"/>
        <family val="0"/>
        <charset val="1"/>
      </rPr>
      <t xml:space="preserve">GMV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</si>
  <si>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</si>
  <si>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</si>
  <si>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</si>
  <si>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</si>
  <si>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</si>
  <si>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</si>
  <si>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7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</si>
  <si>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</si>
  <si>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</si>
  <si>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</si>
  <si>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月</t>
    </r>
  </si>
  <si>
    <r>
      <rPr>
        <sz val="10"/>
        <color rgb="FF1F2937"/>
        <rFont val="Noto Sans CJK SC"/>
        <family val="2"/>
      </rPr>
      <t xml:space="preserve">第</t>
    </r>
    <r>
      <rPr>
        <sz val="10"/>
        <color rgb="FF1F2937"/>
        <rFont val="Arial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月</t>
    </r>
  </si>
  <si>
    <t xml:space="preserve">年度合计</t>
  </si>
  <si>
    <r>
      <rPr>
        <i val="true"/>
        <sz val="9"/>
        <color rgb="FF888888"/>
        <rFont val="Noto Sans CJK SC"/>
        <family val="2"/>
      </rPr>
      <t xml:space="preserve">说明：绿色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SC"/>
        <family val="2"/>
      </rPr>
      <t xml:space="preserve">跨</t>
    </r>
    <r>
      <rPr>
        <i val="true"/>
        <sz val="9"/>
        <color rgb="FF888888"/>
        <rFont val="Arial"/>
        <family val="0"/>
        <charset val="1"/>
      </rPr>
      <t xml:space="preserve">Sheet</t>
    </r>
    <r>
      <rPr>
        <i val="true"/>
        <sz val="9"/>
        <color rgb="FF888888"/>
        <rFont val="Noto Sans CJK SC"/>
        <family val="2"/>
      </rPr>
      <t xml:space="preserve">引用品牌数据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SC"/>
        <family val="2"/>
      </rPr>
      <t xml:space="preserve">蓝色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SC"/>
        <family val="2"/>
      </rPr>
      <t xml:space="preserve">可调假设参数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SC"/>
        <family val="2"/>
      </rPr>
      <t xml:space="preserve">黑色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SC"/>
        <family val="2"/>
      </rPr>
      <t xml:space="preserve">公式计算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SC"/>
        <family val="2"/>
      </rPr>
      <t xml:space="preserve">黄底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SC"/>
        <family val="2"/>
      </rPr>
      <t xml:space="preserve">可输入调整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</si>
</sst>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#,##0"/>
    <numFmt numFmtId="167" formatCode="\¥#,##0.00"/>
    <numFmt numFmtId="168" formatCode="#,##0.0"/>
    <numFmt numFmtId="169" formatCode="0.0%"/>
    <numFmt numFmtId="170" formatCode="\¥#,##0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B85042"/>
      <name val="Noto Sans CJK SC"/>
      <family val="2"/>
    </font>
    <font>
      <b val="true"/>
      <sz val="12"/>
      <color rgb="FFB85042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666666"/>
      <name val="Noto Sans CJK SC"/>
      <family val="2"/>
    </font>
    <font>
      <b val="true"/>
      <sz val="9"/>
      <color rgb="FF666666"/>
      <name val="Arial"/>
      <family val="0"/>
      <charset val="1"/>
    </font>
    <font>
      <sz val="11"/>
      <color rgb="FF00000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1F2937"/>
      <name val="Noto Sans CJK SC"/>
      <family val="2"/>
    </font>
    <font>
      <sz val="10"/>
      <color rgb="FF008000"/>
      <name val="Arial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1F2937"/>
      <name val="Noto Sans CJK SC"/>
      <family val="2"/>
    </font>
    <font>
      <b val="true"/>
      <sz val="10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4"/>
      <color rgb="FFB85042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D4E45"/>
        <bgColor rgb="FF666666"/>
      </patternFill>
    </fill>
    <fill>
      <patternFill patternType="solid">
        <fgColor rgb="FF2C3E50"/>
        <bgColor rgb="FF1F2937"/>
      </patternFill>
    </fill>
    <fill>
      <patternFill patternType="solid">
        <fgColor rgb="FFB85042"/>
        <bgColor rgb="FF99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3E0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EAF2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88888"/>
      <rgbColor rgb="FF9999FF"/>
      <rgbColor rgb="FFB85042"/>
      <rgbColor rgb="FFFFFDE7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F2937"/>
      <rgbColor rgb="FF993300"/>
      <rgbColor rgb="FF5D4E45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 t="s">
        <v>4</v>
      </c>
      <c r="K2" s="2"/>
      <c r="L2" s="2" t="s">
        <v>5</v>
      </c>
      <c r="M2" s="2" t="s">
        <v>6</v>
      </c>
      <c r="N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/>
      <c r="L3" s="3" t="s">
        <v>18</v>
      </c>
      <c r="M3" s="3"/>
      <c r="N3" s="3" t="s">
        <v>19</v>
      </c>
    </row>
    <row r="4" customFormat="false" ht="15" hidden="false" customHeight="false" outlineLevel="0" collapsed="false">
      <c r="A4" s="5" t="n">
        <v>45839</v>
      </c>
      <c r="B4" s="0" t="n">
        <v>13</v>
      </c>
      <c r="C4" s="0" t="n">
        <v>80089</v>
      </c>
      <c r="D4" s="0" t="n">
        <v>79867</v>
      </c>
      <c r="E4" s="0" t="n">
        <v>32231</v>
      </c>
      <c r="F4" s="0" t="n">
        <v>55.71</v>
      </c>
      <c r="G4" s="0" t="n">
        <v>805194</v>
      </c>
      <c r="H4" s="0" t="s">
        <v>20</v>
      </c>
      <c r="I4" s="0" t="s">
        <v>20</v>
      </c>
      <c r="J4" s="0" t="n">
        <v>0</v>
      </c>
      <c r="K4" s="0" t="n">
        <v>0.402439785738366</v>
      </c>
    </row>
    <row r="5" customFormat="false" ht="15" hidden="false" customHeight="false" outlineLevel="0" collapsed="false">
      <c r="A5" s="5" t="n">
        <v>45870</v>
      </c>
      <c r="B5" s="0" t="n">
        <v>13</v>
      </c>
      <c r="C5" s="0" t="n">
        <v>84520</v>
      </c>
      <c r="D5" s="0" t="n">
        <v>84302</v>
      </c>
      <c r="E5" s="0" t="n">
        <v>36284</v>
      </c>
      <c r="F5" s="0" t="n">
        <v>58.62</v>
      </c>
      <c r="G5" s="0" t="n">
        <v>836670</v>
      </c>
      <c r="H5" s="0" t="s">
        <v>20</v>
      </c>
      <c r="I5" s="0" t="s">
        <v>20</v>
      </c>
      <c r="J5" s="0" t="n">
        <v>0</v>
      </c>
      <c r="K5" s="0" t="n">
        <v>0.429294841457643</v>
      </c>
    </row>
    <row r="6" customFormat="false" ht="15" hidden="false" customHeight="false" outlineLevel="0" collapsed="false">
      <c r="A6" s="5" t="n">
        <v>45901</v>
      </c>
      <c r="B6" s="0" t="n">
        <v>15</v>
      </c>
      <c r="C6" s="0" t="n">
        <v>75741</v>
      </c>
      <c r="D6" s="0" t="n">
        <v>75568</v>
      </c>
      <c r="E6" s="0" t="n">
        <v>32351</v>
      </c>
      <c r="F6" s="0" t="n">
        <v>55.03</v>
      </c>
      <c r="G6" s="0" t="n">
        <v>864216</v>
      </c>
      <c r="H6" s="0" t="s">
        <v>20</v>
      </c>
      <c r="I6" s="0" t="s">
        <v>20</v>
      </c>
      <c r="J6" s="0" t="n">
        <v>0</v>
      </c>
      <c r="K6" s="0" t="n">
        <v>0.427126655312182</v>
      </c>
    </row>
    <row r="7" customFormat="false" ht="15" hidden="false" customHeight="false" outlineLevel="0" collapsed="false">
      <c r="A7" s="5" t="n">
        <v>45931</v>
      </c>
      <c r="B7" s="0" t="n">
        <v>16</v>
      </c>
      <c r="C7" s="0" t="n">
        <v>91163</v>
      </c>
      <c r="D7" s="0" t="n">
        <v>90901</v>
      </c>
      <c r="E7" s="0" t="n">
        <v>38855</v>
      </c>
      <c r="F7" s="0" t="n">
        <v>55.71</v>
      </c>
      <c r="G7" s="0" t="n">
        <v>899681</v>
      </c>
      <c r="H7" s="0" t="s">
        <v>20</v>
      </c>
      <c r="I7" s="0" t="s">
        <v>20</v>
      </c>
      <c r="J7" s="0" t="n">
        <v>0</v>
      </c>
      <c r="K7" s="0" t="n">
        <v>0.426214582670601</v>
      </c>
    </row>
    <row r="8" customFormat="false" ht="15" hidden="false" customHeight="false" outlineLevel="0" collapsed="false">
      <c r="A8" s="5" t="n">
        <v>45962</v>
      </c>
      <c r="B8" s="0" t="n">
        <v>16</v>
      </c>
      <c r="C8" s="0" t="n">
        <v>90283</v>
      </c>
      <c r="D8" s="0" t="n">
        <v>90045</v>
      </c>
      <c r="E8" s="0" t="n">
        <v>38267</v>
      </c>
      <c r="F8" s="0" t="n">
        <v>57.26</v>
      </c>
      <c r="G8" s="0" t="n">
        <v>934062</v>
      </c>
      <c r="H8" s="0" t="s">
        <v>20</v>
      </c>
      <c r="I8" s="0" t="s">
        <v>20</v>
      </c>
      <c r="J8" s="0" t="n">
        <v>0</v>
      </c>
      <c r="K8" s="0" t="n">
        <v>0.423856096939623</v>
      </c>
    </row>
    <row r="9" customFormat="false" ht="15" hidden="false" customHeight="false" outlineLevel="0" collapsed="false">
      <c r="A9" s="5" t="n">
        <v>45992</v>
      </c>
      <c r="B9" s="0" t="n">
        <v>16</v>
      </c>
      <c r="C9" s="0" t="n">
        <v>89204</v>
      </c>
      <c r="D9" s="0" t="n">
        <v>88936</v>
      </c>
      <c r="E9" s="0" t="n">
        <v>36624</v>
      </c>
      <c r="F9" s="0" t="n">
        <v>60.09</v>
      </c>
      <c r="G9" s="0" t="n">
        <v>969263</v>
      </c>
      <c r="H9" s="0" t="s">
        <v>20</v>
      </c>
      <c r="I9" s="0" t="s">
        <v>20</v>
      </c>
      <c r="J9" s="0" t="n">
        <v>0</v>
      </c>
      <c r="K9" s="0" t="n">
        <v>0.410564548674947</v>
      </c>
    </row>
    <row r="10" customFormat="false" ht="15" hidden="false" customHeight="false" outlineLevel="0" collapsed="false">
      <c r="A10" s="0" t="s">
        <v>21</v>
      </c>
      <c r="B10" s="0" t="n">
        <v>17</v>
      </c>
      <c r="C10" s="0" t="n">
        <v>84307</v>
      </c>
      <c r="D10" s="0" t="n">
        <v>84083</v>
      </c>
      <c r="E10" s="0" t="n">
        <v>36133</v>
      </c>
      <c r="F10" s="0" t="n">
        <v>60.12</v>
      </c>
      <c r="G10" s="0" t="n">
        <v>1002164</v>
      </c>
      <c r="H10" s="0" t="s">
        <v>20</v>
      </c>
      <c r="I10" s="0" t="s">
        <v>20</v>
      </c>
      <c r="J10" s="0" t="n">
        <v>0</v>
      </c>
      <c r="K10" s="0" t="n">
        <v>0.428588373444672</v>
      </c>
    </row>
    <row r="11" customFormat="false" ht="15" hidden="false" customHeight="false" outlineLevel="0" collapsed="false">
      <c r="A11" s="0" t="s">
        <v>22</v>
      </c>
      <c r="B11" s="0" t="n">
        <v>18</v>
      </c>
      <c r="C11" s="0" t="n">
        <v>75287</v>
      </c>
      <c r="D11" s="0" t="n">
        <v>75073</v>
      </c>
      <c r="E11" s="0" t="n">
        <v>34350</v>
      </c>
      <c r="F11" s="0" t="n">
        <v>63.03</v>
      </c>
      <c r="G11" s="0" t="n">
        <v>1034127</v>
      </c>
      <c r="H11" s="0" t="s">
        <v>20</v>
      </c>
      <c r="I11" s="0" t="s">
        <v>20</v>
      </c>
      <c r="J11" s="0" t="n">
        <v>0</v>
      </c>
      <c r="K11" s="0" t="n">
        <v>0.456254067767344</v>
      </c>
    </row>
    <row r="12" customFormat="false" ht="15" hidden="false" customHeight="false" outlineLevel="0" collapsed="false">
      <c r="A12" s="0" t="s">
        <v>23</v>
      </c>
      <c r="B12" s="0" t="n">
        <v>18</v>
      </c>
      <c r="C12" s="0" t="n">
        <v>84432</v>
      </c>
      <c r="D12" s="0" t="n">
        <v>84166</v>
      </c>
      <c r="E12" s="0" t="n">
        <v>39383</v>
      </c>
      <c r="F12" s="0" t="n">
        <v>59.82</v>
      </c>
      <c r="G12" s="0" t="n">
        <v>1066514</v>
      </c>
      <c r="H12" s="0" t="s">
        <v>20</v>
      </c>
      <c r="I12" s="0" t="s">
        <v>20</v>
      </c>
      <c r="J12" s="0" t="n">
        <v>0</v>
      </c>
      <c r="K12" s="0" t="n">
        <v>0.466446371044154</v>
      </c>
    </row>
    <row r="13" customFormat="false" ht="15" hidden="false" customHeight="false" outlineLevel="0" collapsed="false">
      <c r="A13" s="0" t="s">
        <v>24</v>
      </c>
      <c r="B13" s="0" t="n">
        <v>18</v>
      </c>
      <c r="C13" s="0" t="n">
        <v>85718</v>
      </c>
      <c r="D13" s="0" t="n">
        <v>85509</v>
      </c>
      <c r="E13" s="0" t="n">
        <v>38348</v>
      </c>
      <c r="F13" s="0" t="n">
        <v>58.16</v>
      </c>
      <c r="G13" s="0" t="n">
        <v>1101270</v>
      </c>
      <c r="H13" s="0" t="n">
        <v>31954</v>
      </c>
      <c r="I13" s="0" t="n">
        <v>1.35623083182074</v>
      </c>
      <c r="J13" s="0" t="n">
        <v>0</v>
      </c>
      <c r="K13" s="0" t="n">
        <v>0.447373947128958</v>
      </c>
    </row>
    <row r="14" customFormat="false" ht="15" hidden="false" customHeight="false" outlineLevel="0" collapsed="false">
      <c r="A14" s="0" t="s">
        <v>25</v>
      </c>
      <c r="B14" s="0" t="n">
        <v>19</v>
      </c>
      <c r="C14" s="0" t="n">
        <v>92051</v>
      </c>
      <c r="D14" s="0" t="n">
        <v>91784</v>
      </c>
      <c r="E14" s="0" t="n">
        <v>44432</v>
      </c>
      <c r="F14" s="0" t="n">
        <v>61.82</v>
      </c>
      <c r="G14" s="0" t="n">
        <v>1144514</v>
      </c>
      <c r="H14" s="0" t="n">
        <v>37024</v>
      </c>
      <c r="I14" s="0" t="n">
        <v>1.3354580812446</v>
      </c>
      <c r="J14" s="0" t="n">
        <v>0</v>
      </c>
      <c r="K14" s="0" t="n">
        <v>0.482688944172252</v>
      </c>
    </row>
    <row r="15" customFormat="false" ht="15" hidden="false" customHeight="false" outlineLevel="0" collapsed="false">
      <c r="A15" s="0" t="s">
        <v>26</v>
      </c>
      <c r="B15" s="0" t="n">
        <v>19</v>
      </c>
      <c r="C15" s="0" t="s">
        <v>20</v>
      </c>
      <c r="D15" s="0" t="s">
        <v>20</v>
      </c>
      <c r="E15" s="0" t="s">
        <v>20</v>
      </c>
      <c r="F15" s="0" t="n">
        <v>60.54</v>
      </c>
      <c r="G15" s="0" t="n">
        <v>1169036</v>
      </c>
      <c r="H15" s="0" t="n">
        <v>24821</v>
      </c>
      <c r="I15" s="0" t="n">
        <v>1.36062205390597</v>
      </c>
      <c r="J15" s="0" t="n">
        <v>0</v>
      </c>
      <c r="K15" s="6" t="s">
        <v>27</v>
      </c>
    </row>
    <row r="16" customFormat="false" ht="15" hidden="false" customHeight="false" outlineLevel="0" collapsed="false">
      <c r="A16" s="6" t="s">
        <v>28</v>
      </c>
      <c r="B16" s="0" t="n">
        <v>16.5</v>
      </c>
      <c r="C16" s="0" t="n">
        <v>84799.5454545455</v>
      </c>
      <c r="D16" s="0" t="n">
        <v>84566.7272727273</v>
      </c>
      <c r="E16" s="0" t="n">
        <v>37023.4545454545</v>
      </c>
      <c r="F16" s="0" t="n">
        <v>58.8258333333333</v>
      </c>
      <c r="G16" s="0" t="n">
        <v>985559.25</v>
      </c>
      <c r="H16" s="0" t="n">
        <v>31266.3333333333</v>
      </c>
      <c r="I16" s="0" t="n">
        <v>1.35077032232377</v>
      </c>
      <c r="J1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5"/>
  </cols>
  <sheetData>
    <row r="1" customFormat="false" ht="31.5" hidden="false" customHeight="true" outlineLevel="0" collapsed="false">
      <c r="A1" s="7" t="s">
        <v>29</v>
      </c>
      <c r="B1" s="7"/>
      <c r="C1" s="7"/>
    </row>
    <row r="3" customFormat="false" ht="25.5" hidden="false" customHeight="true" outlineLevel="0" collapsed="false">
      <c r="A3" s="8" t="s">
        <v>30</v>
      </c>
      <c r="B3" s="8"/>
      <c r="C3" s="8"/>
    </row>
    <row r="4" customFormat="false" ht="15" hidden="false" customHeight="false" outlineLevel="0" collapsed="false">
      <c r="A4" s="9" t="s">
        <v>31</v>
      </c>
      <c r="B4" s="9" t="s">
        <v>28</v>
      </c>
      <c r="C4" s="9" t="s">
        <v>32</v>
      </c>
    </row>
    <row r="5" customFormat="false" ht="15" hidden="false" customHeight="false" outlineLevel="0" collapsed="false">
      <c r="A5" s="10" t="s">
        <v>33</v>
      </c>
      <c r="B5" s="11" t="n">
        <f aca="false">品牌原始数据!E16</f>
        <v>37023.4545454545</v>
      </c>
      <c r="C5" s="12" t="s">
        <v>34</v>
      </c>
    </row>
    <row r="6" customFormat="false" ht="15" hidden="false" customHeight="false" outlineLevel="0" collapsed="false">
      <c r="A6" s="13" t="s">
        <v>35</v>
      </c>
      <c r="B6" s="14" t="n">
        <f aca="false">品牌原始数据!F16</f>
        <v>58.8258333333333</v>
      </c>
      <c r="C6" s="15" t="s">
        <v>36</v>
      </c>
    </row>
    <row r="7" customFormat="false" ht="15" hidden="false" customHeight="false" outlineLevel="0" collapsed="false">
      <c r="A7" s="10" t="s">
        <v>37</v>
      </c>
      <c r="B7" s="11" t="n">
        <f aca="false">品牌原始数据!D16</f>
        <v>84566.7272727273</v>
      </c>
      <c r="C7" s="12" t="s">
        <v>38</v>
      </c>
    </row>
    <row r="8" customFormat="false" ht="15" hidden="false" customHeight="false" outlineLevel="0" collapsed="false">
      <c r="A8" s="13" t="s">
        <v>39</v>
      </c>
      <c r="B8" s="16" t="n">
        <v>19</v>
      </c>
      <c r="C8" s="15" t="s">
        <v>40</v>
      </c>
    </row>
    <row r="9" customFormat="false" ht="15" hidden="false" customHeight="false" outlineLevel="0" collapsed="false">
      <c r="A9" s="10" t="s">
        <v>41</v>
      </c>
      <c r="B9" s="11" t="n">
        <f aca="false">品牌原始数据!G16</f>
        <v>985559.25</v>
      </c>
      <c r="C9" s="12" t="s">
        <v>42</v>
      </c>
    </row>
    <row r="10" customFormat="false" ht="15" hidden="false" customHeight="false" outlineLevel="0" collapsed="false">
      <c r="A10" s="13" t="s">
        <v>43</v>
      </c>
      <c r="B10" s="17" t="n">
        <f aca="false">品牌原始数据!H16</f>
        <v>31266.3333333333</v>
      </c>
      <c r="C10" s="15" t="s">
        <v>44</v>
      </c>
    </row>
    <row r="11" customFormat="false" ht="15" hidden="false" customHeight="false" outlineLevel="0" collapsed="false">
      <c r="A11" s="10" t="s">
        <v>45</v>
      </c>
      <c r="B11" s="18" t="n">
        <f aca="false">品牌原始数据!I16</f>
        <v>1.35077032232377</v>
      </c>
      <c r="C11" s="12" t="s">
        <v>46</v>
      </c>
    </row>
    <row r="12" customFormat="false" ht="15" hidden="false" customHeight="false" outlineLevel="0" collapsed="false">
      <c r="A12" s="19" t="s">
        <v>47</v>
      </c>
      <c r="B12" s="20" t="n">
        <f aca="false">品牌原始数据!J16</f>
        <v>0</v>
      </c>
      <c r="C12" s="21" t="s">
        <v>48</v>
      </c>
    </row>
    <row r="13" customFormat="false" ht="15" hidden="false" customHeight="false" outlineLevel="0" collapsed="false">
      <c r="A13" s="10" t="s">
        <v>49</v>
      </c>
      <c r="B13" s="22" t="n">
        <v>0.5</v>
      </c>
      <c r="C13" s="12" t="s">
        <v>50</v>
      </c>
    </row>
    <row r="15" customFormat="false" ht="25.5" hidden="false" customHeight="true" outlineLevel="0" collapsed="false">
      <c r="A15" s="8" t="s">
        <v>51</v>
      </c>
      <c r="B15" s="8"/>
      <c r="C15" s="8"/>
    </row>
    <row r="16" customFormat="false" ht="34.5" hidden="false" customHeight="true" outlineLevel="0" collapsed="false">
      <c r="A16" s="23" t="s">
        <v>52</v>
      </c>
      <c r="B16" s="23"/>
      <c r="C16" s="23"/>
      <c r="D16" s="23"/>
    </row>
    <row r="17" customFormat="false" ht="34.5" hidden="false" customHeight="true" outlineLevel="0" collapsed="false">
      <c r="A17" s="23" t="s">
        <v>53</v>
      </c>
      <c r="B17" s="23"/>
      <c r="C17" s="23"/>
      <c r="D17" s="23"/>
    </row>
    <row r="18" customFormat="false" ht="34.5" hidden="false" customHeight="true" outlineLevel="0" collapsed="false">
      <c r="A18" s="23" t="s">
        <v>54</v>
      </c>
      <c r="B18" s="23"/>
      <c r="C18" s="23"/>
      <c r="D18" s="23"/>
    </row>
    <row r="19" customFormat="false" ht="34.5" hidden="false" customHeight="true" outlineLevel="0" collapsed="false">
      <c r="A19" s="23" t="s">
        <v>55</v>
      </c>
      <c r="B19" s="23"/>
      <c r="C19" s="23"/>
      <c r="D19" s="23"/>
    </row>
    <row r="20" customFormat="false" ht="34.5" hidden="false" customHeight="true" outlineLevel="0" collapsed="false">
      <c r="A20" s="23" t="s">
        <v>56</v>
      </c>
      <c r="B20" s="23"/>
      <c r="C20" s="23"/>
      <c r="D20" s="23"/>
    </row>
    <row r="22" customFormat="false" ht="25.5" hidden="false" customHeight="true" outlineLevel="0" collapsed="false">
      <c r="A22" s="8" t="s">
        <v>57</v>
      </c>
      <c r="B22" s="8"/>
      <c r="C22" s="8"/>
    </row>
    <row r="23" customFormat="false" ht="15" hidden="false" customHeight="false" outlineLevel="0" collapsed="false">
      <c r="A23" s="24" t="s">
        <v>58</v>
      </c>
      <c r="B23" s="24" t="s">
        <v>59</v>
      </c>
      <c r="C23" s="24" t="s">
        <v>60</v>
      </c>
      <c r="D23" s="24" t="s">
        <v>61</v>
      </c>
    </row>
    <row r="24" customFormat="false" ht="15" hidden="false" customHeight="false" outlineLevel="0" collapsed="false">
      <c r="A24" s="25" t="s">
        <v>62</v>
      </c>
      <c r="B24" s="26" t="s">
        <v>63</v>
      </c>
      <c r="C24" s="26" t="s">
        <v>64</v>
      </c>
      <c r="D24" s="25" t="s">
        <v>65</v>
      </c>
    </row>
    <row r="25" customFormat="false" ht="15" hidden="false" customHeight="false" outlineLevel="0" collapsed="false">
      <c r="A25" s="27" t="s">
        <v>66</v>
      </c>
      <c r="B25" s="27" t="s">
        <v>67</v>
      </c>
      <c r="C25" s="27" t="s">
        <v>68</v>
      </c>
      <c r="D25" s="27" t="s">
        <v>69</v>
      </c>
    </row>
    <row r="26" customFormat="false" ht="15" hidden="false" customHeight="false" outlineLevel="0" collapsed="false">
      <c r="A26" s="25" t="s">
        <v>70</v>
      </c>
      <c r="B26" s="25" t="s">
        <v>71</v>
      </c>
      <c r="C26" s="25" t="s">
        <v>72</v>
      </c>
      <c r="D26" s="25" t="s">
        <v>73</v>
      </c>
    </row>
    <row r="27" customFormat="false" ht="15" hidden="false" customHeight="false" outlineLevel="0" collapsed="false">
      <c r="A27" s="27" t="s">
        <v>74</v>
      </c>
      <c r="B27" s="27" t="s">
        <v>75</v>
      </c>
      <c r="C27" s="27" t="s">
        <v>76</v>
      </c>
      <c r="D27" s="27" t="s">
        <v>77</v>
      </c>
    </row>
  </sheetData>
  <mergeCells count="9">
    <mergeCell ref="A1:C1"/>
    <mergeCell ref="A3:C3"/>
    <mergeCell ref="A15:C15"/>
    <mergeCell ref="A16:D16"/>
    <mergeCell ref="A17:D17"/>
    <mergeCell ref="A18:D18"/>
    <mergeCell ref="A19:D19"/>
    <mergeCell ref="A20:D20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31.5" hidden="false" customHeight="true" outlineLevel="0" collapsed="false">
      <c r="A1" s="7" t="s">
        <v>78</v>
      </c>
      <c r="B1" s="7"/>
      <c r="C1" s="7"/>
    </row>
    <row r="3" customFormat="false" ht="25.5" hidden="false" customHeight="true" outlineLevel="0" collapsed="false">
      <c r="A3" s="8" t="s">
        <v>79</v>
      </c>
      <c r="B3" s="8"/>
      <c r="C3" s="8"/>
    </row>
    <row r="4" customFormat="false" ht="15" hidden="false" customHeight="false" outlineLevel="0" collapsed="false">
      <c r="A4" s="3" t="s">
        <v>31</v>
      </c>
      <c r="B4" s="3" t="s">
        <v>28</v>
      </c>
      <c r="C4" s="3" t="s">
        <v>80</v>
      </c>
    </row>
    <row r="5" customFormat="false" ht="15" hidden="false" customHeight="false" outlineLevel="0" collapsed="false">
      <c r="A5" s="10" t="s">
        <v>33</v>
      </c>
      <c r="B5" s="11" t="n">
        <f aca="false">品牌原始数据!E16</f>
        <v>37023.4545454545</v>
      </c>
      <c r="C5" s="12" t="s">
        <v>81</v>
      </c>
    </row>
    <row r="6" customFormat="false" ht="15" hidden="false" customHeight="false" outlineLevel="0" collapsed="false">
      <c r="A6" s="13" t="s">
        <v>82</v>
      </c>
      <c r="B6" s="14" t="n">
        <f aca="false">品牌原始数据!F16</f>
        <v>58.8258333333333</v>
      </c>
      <c r="C6" s="15" t="s">
        <v>83</v>
      </c>
    </row>
    <row r="7" customFormat="false" ht="15" hidden="false" customHeight="false" outlineLevel="0" collapsed="false">
      <c r="A7" s="10" t="s">
        <v>37</v>
      </c>
      <c r="B7" s="11" t="n">
        <f aca="false">品牌原始数据!D16</f>
        <v>84566.7272727273</v>
      </c>
      <c r="C7" s="12" t="s">
        <v>84</v>
      </c>
    </row>
    <row r="8" customFormat="false" ht="15" hidden="false" customHeight="false" outlineLevel="0" collapsed="false">
      <c r="A8" s="13" t="s">
        <v>39</v>
      </c>
      <c r="B8" s="16" t="n">
        <v>19</v>
      </c>
      <c r="C8" s="15" t="s">
        <v>85</v>
      </c>
    </row>
    <row r="9" customFormat="false" ht="15" hidden="false" customHeight="false" outlineLevel="0" collapsed="false">
      <c r="A9" s="10" t="s">
        <v>41</v>
      </c>
      <c r="B9" s="11" t="n">
        <f aca="false">品牌原始数据!G16</f>
        <v>985559.25</v>
      </c>
      <c r="C9" s="12" t="s">
        <v>86</v>
      </c>
    </row>
    <row r="10" customFormat="false" ht="15" hidden="false" customHeight="false" outlineLevel="0" collapsed="false">
      <c r="A10" s="13" t="s">
        <v>43</v>
      </c>
      <c r="B10" s="17" t="n">
        <f aca="false">品牌原始数据!H16</f>
        <v>31266.3333333333</v>
      </c>
      <c r="C10" s="15" t="s">
        <v>87</v>
      </c>
    </row>
    <row r="11" customFormat="false" ht="15" hidden="false" customHeight="false" outlineLevel="0" collapsed="false">
      <c r="A11" s="10" t="s">
        <v>88</v>
      </c>
      <c r="B11" s="18" t="n">
        <f aca="false">品牌原始数据!I16</f>
        <v>1.35077032232377</v>
      </c>
      <c r="C11" s="12" t="s">
        <v>89</v>
      </c>
    </row>
    <row r="12" customFormat="false" ht="15" hidden="false" customHeight="false" outlineLevel="0" collapsed="false">
      <c r="A12" s="13" t="s">
        <v>90</v>
      </c>
      <c r="B12" s="28" t="n">
        <v>0.5</v>
      </c>
      <c r="C12" s="15" t="s">
        <v>91</v>
      </c>
    </row>
    <row r="14" customFormat="false" ht="25.5" hidden="false" customHeight="true" outlineLevel="0" collapsed="false">
      <c r="A14" s="8" t="s">
        <v>92</v>
      </c>
      <c r="B14" s="8"/>
      <c r="C14" s="8"/>
    </row>
    <row r="15" customFormat="false" ht="15" hidden="false" customHeight="false" outlineLevel="0" collapsed="false">
      <c r="A15" s="3" t="s">
        <v>93</v>
      </c>
      <c r="B15" s="3" t="s">
        <v>94</v>
      </c>
      <c r="C15" s="3" t="s">
        <v>95</v>
      </c>
    </row>
    <row r="16" customFormat="false" ht="15" hidden="false" customHeight="false" outlineLevel="0" collapsed="false">
      <c r="A16" s="29" t="s">
        <v>96</v>
      </c>
      <c r="B16" s="30" t="n">
        <v>0.08</v>
      </c>
      <c r="C16" s="31" t="s">
        <v>97</v>
      </c>
    </row>
    <row r="17" customFormat="false" ht="15" hidden="false" customHeight="false" outlineLevel="0" collapsed="false">
      <c r="A17" s="32" t="s">
        <v>98</v>
      </c>
      <c r="B17" s="33" t="n">
        <f aca="false">ROUND(B5*B16,0)</f>
        <v>2962</v>
      </c>
      <c r="C17" s="31" t="s">
        <v>99</v>
      </c>
    </row>
    <row r="18" customFormat="false" ht="15" hidden="false" customHeight="false" outlineLevel="0" collapsed="false">
      <c r="A18" s="29" t="s">
        <v>100</v>
      </c>
      <c r="B18" s="30" t="n">
        <v>0.7</v>
      </c>
      <c r="C18" s="31" t="s">
        <v>101</v>
      </c>
    </row>
    <row r="19" customFormat="false" ht="15" hidden="false" customHeight="false" outlineLevel="0" collapsed="false">
      <c r="A19" s="29" t="s">
        <v>102</v>
      </c>
      <c r="B19" s="34" t="n">
        <v>6</v>
      </c>
      <c r="C19" s="31" t="s">
        <v>103</v>
      </c>
    </row>
    <row r="21" customFormat="false" ht="25.5" hidden="false" customHeight="true" outlineLevel="0" collapsed="false">
      <c r="A21" s="8" t="s">
        <v>104</v>
      </c>
      <c r="B21" s="8"/>
      <c r="C21" s="8"/>
    </row>
    <row r="22" customFormat="false" ht="15" hidden="false" customHeight="false" outlineLevel="0" collapsed="false">
      <c r="A22" s="35" t="s">
        <v>105</v>
      </c>
      <c r="B22" s="36" t="n">
        <v>0.5</v>
      </c>
      <c r="C22" s="37" t="s">
        <v>106</v>
      </c>
    </row>
    <row r="23" customFormat="false" ht="15" hidden="false" customHeight="false" outlineLevel="0" collapsed="false">
      <c r="A23" s="38" t="s">
        <v>107</v>
      </c>
      <c r="B23" s="30" t="n">
        <v>0.05</v>
      </c>
      <c r="C23" s="39" t="s">
        <v>108</v>
      </c>
    </row>
    <row r="24" customFormat="false" ht="15" hidden="false" customHeight="false" outlineLevel="0" collapsed="false">
      <c r="A24" s="35" t="s">
        <v>109</v>
      </c>
      <c r="B24" s="30" t="n">
        <v>0.08</v>
      </c>
      <c r="C24" s="37" t="s">
        <v>110</v>
      </c>
    </row>
    <row r="25" customFormat="false" ht="15" hidden="false" customHeight="false" outlineLevel="0" collapsed="false">
      <c r="A25" s="38" t="s">
        <v>111</v>
      </c>
      <c r="B25" s="36" t="n">
        <v>0.3</v>
      </c>
      <c r="C25" s="39" t="s">
        <v>112</v>
      </c>
    </row>
    <row r="26" customFormat="false" ht="15" hidden="false" customHeight="false" outlineLevel="0" collapsed="false">
      <c r="A26" s="35" t="s">
        <v>113</v>
      </c>
      <c r="B26" s="30" t="n">
        <v>0.6</v>
      </c>
      <c r="C26" s="37" t="s">
        <v>114</v>
      </c>
    </row>
    <row r="27" customFormat="false" ht="15" hidden="false" customHeight="false" outlineLevel="0" collapsed="false">
      <c r="A27" s="40" t="s">
        <v>115</v>
      </c>
      <c r="B27" s="41" t="n">
        <v>0</v>
      </c>
      <c r="C27" s="42" t="s">
        <v>116</v>
      </c>
    </row>
    <row r="28" customFormat="false" ht="15" hidden="false" customHeight="false" outlineLevel="0" collapsed="false">
      <c r="A28" s="29" t="s">
        <v>117</v>
      </c>
      <c r="B28" s="41" t="n">
        <v>0</v>
      </c>
      <c r="C28" s="31" t="s">
        <v>118</v>
      </c>
    </row>
    <row r="30" customFormat="false" ht="25.5" hidden="false" customHeight="true" outlineLevel="0" collapsed="false">
      <c r="A30" s="8" t="s">
        <v>119</v>
      </c>
      <c r="B30" s="8"/>
      <c r="C30" s="8"/>
    </row>
    <row r="31" customFormat="false" ht="15" hidden="false" customHeight="false" outlineLevel="0" collapsed="false">
      <c r="A31" s="3" t="s">
        <v>120</v>
      </c>
      <c r="B31" s="3" t="s">
        <v>121</v>
      </c>
      <c r="C31" s="3" t="s">
        <v>80</v>
      </c>
    </row>
    <row r="32" customFormat="false" ht="15" hidden="false" customHeight="false" outlineLevel="0" collapsed="false">
      <c r="A32" s="10" t="s">
        <v>122</v>
      </c>
      <c r="B32" s="43" t="n">
        <f aca="false">ROUND(B17*B18*B19,0)</f>
        <v>12440</v>
      </c>
      <c r="C32" s="12" t="s">
        <v>123</v>
      </c>
    </row>
    <row r="33" customFormat="false" ht="15" hidden="false" customHeight="false" outlineLevel="0" collapsed="false">
      <c r="A33" s="13" t="s">
        <v>124</v>
      </c>
      <c r="B33" s="44" t="n">
        <f aca="false">B17*12</f>
        <v>35544</v>
      </c>
      <c r="C33" s="15" t="s">
        <v>125</v>
      </c>
    </row>
    <row r="34" customFormat="false" ht="15" hidden="false" customHeight="false" outlineLevel="0" collapsed="false">
      <c r="A34" s="10" t="s">
        <v>126</v>
      </c>
      <c r="B34" s="45" t="n">
        <f aca="false">IFERROR(B10/B9,0)</f>
        <v>0.0317244583045954</v>
      </c>
      <c r="C34" s="12" t="s">
        <v>127</v>
      </c>
    </row>
    <row r="35" customFormat="false" ht="15" hidden="false" customHeight="false" outlineLevel="0" collapsed="false">
      <c r="A35" s="13" t="s">
        <v>128</v>
      </c>
      <c r="B35" s="46" t="n">
        <f aca="false">2.25-B11</f>
        <v>0.89922967767623</v>
      </c>
      <c r="C35" s="15" t="s">
        <v>129</v>
      </c>
    </row>
    <row r="37" customFormat="false" ht="25.5" hidden="false" customHeight="true" outlineLevel="0" collapsed="false">
      <c r="A37" s="8" t="s">
        <v>130</v>
      </c>
      <c r="B37" s="8"/>
      <c r="C37" s="8"/>
    </row>
    <row r="38" customFormat="false" ht="15" hidden="false" customHeight="false" outlineLevel="0" collapsed="false">
      <c r="A38" s="3" t="s">
        <v>131</v>
      </c>
      <c r="B38" s="3" t="s">
        <v>132</v>
      </c>
      <c r="C38" s="3" t="s">
        <v>133</v>
      </c>
    </row>
    <row r="39" customFormat="false" ht="15" hidden="false" customHeight="false" outlineLevel="0" collapsed="false">
      <c r="A39" s="10" t="s">
        <v>134</v>
      </c>
      <c r="B39" s="47" t="n">
        <f aca="false">ROUND(B32*B22*B6,0)</f>
        <v>365897</v>
      </c>
      <c r="C39" s="12" t="s">
        <v>135</v>
      </c>
    </row>
    <row r="40" customFormat="false" ht="15" hidden="false" customHeight="false" outlineLevel="0" collapsed="false">
      <c r="A40" s="13" t="s">
        <v>136</v>
      </c>
      <c r="B40" s="48" t="n">
        <f aca="false">0</f>
        <v>0</v>
      </c>
      <c r="C40" s="15" t="s">
        <v>137</v>
      </c>
    </row>
    <row r="41" customFormat="false" ht="15" hidden="false" customHeight="false" outlineLevel="0" collapsed="false">
      <c r="A41" s="10" t="s">
        <v>138</v>
      </c>
      <c r="B41" s="47" t="n">
        <f aca="false">ROUND(B32*B23*B6,0)</f>
        <v>36590</v>
      </c>
      <c r="C41" s="12" t="s">
        <v>139</v>
      </c>
    </row>
    <row r="42" customFormat="false" ht="15" hidden="false" customHeight="false" outlineLevel="0" collapsed="false">
      <c r="A42" s="13" t="s">
        <v>140</v>
      </c>
      <c r="B42" s="48" t="n">
        <f aca="false">ROUND(B32*B24*B6*B25,0)</f>
        <v>17563</v>
      </c>
      <c r="C42" s="15" t="s">
        <v>141</v>
      </c>
    </row>
    <row r="43" customFormat="false" ht="15" hidden="false" customHeight="false" outlineLevel="0" collapsed="false">
      <c r="A43" s="49" t="s">
        <v>142</v>
      </c>
      <c r="B43" s="50" t="n">
        <f aca="false">SUM(B39:B42)</f>
        <v>420050</v>
      </c>
      <c r="C43" s="51" t="s">
        <v>143</v>
      </c>
    </row>
    <row r="44" customFormat="false" ht="15" hidden="false" customHeight="false" outlineLevel="0" collapsed="false">
      <c r="A44" s="49" t="s">
        <v>144</v>
      </c>
      <c r="B44" s="50" t="n">
        <f aca="false">B43*12</f>
        <v>5040600</v>
      </c>
      <c r="C44" s="51" t="s">
        <v>145</v>
      </c>
    </row>
    <row r="46" customFormat="false" ht="25.5" hidden="false" customHeight="true" outlineLevel="0" collapsed="false">
      <c r="A46" s="8" t="s">
        <v>146</v>
      </c>
      <c r="B46" s="8"/>
      <c r="C46" s="8"/>
    </row>
    <row r="47" customFormat="false" ht="15" hidden="false" customHeight="false" outlineLevel="0" collapsed="false">
      <c r="A47" s="3" t="s">
        <v>147</v>
      </c>
      <c r="B47" s="3" t="s">
        <v>148</v>
      </c>
      <c r="C47" s="3" t="s">
        <v>80</v>
      </c>
    </row>
    <row r="48" customFormat="false" ht="15" hidden="false" customHeight="false" outlineLevel="0" collapsed="false">
      <c r="A48" s="10" t="s">
        <v>149</v>
      </c>
      <c r="B48" s="47" t="n">
        <f aca="false">ROUND(B17*12*B12,0)</f>
        <v>17772</v>
      </c>
      <c r="C48" s="12" t="s">
        <v>150</v>
      </c>
    </row>
    <row r="49" customFormat="false" ht="15" hidden="false" customHeight="false" outlineLevel="0" collapsed="false">
      <c r="A49" s="52" t="s">
        <v>151</v>
      </c>
      <c r="B49" s="48" t="n">
        <f aca="false">B27</f>
        <v>0</v>
      </c>
      <c r="C49" s="15" t="s">
        <v>152</v>
      </c>
    </row>
    <row r="50" customFormat="false" ht="15" hidden="false" customHeight="false" outlineLevel="0" collapsed="false">
      <c r="A50" s="10" t="s">
        <v>153</v>
      </c>
      <c r="B50" s="47" t="n">
        <f aca="false">B28*12</f>
        <v>0</v>
      </c>
      <c r="C50" s="12" t="s">
        <v>154</v>
      </c>
    </row>
    <row r="51" customFormat="false" ht="15" hidden="false" customHeight="false" outlineLevel="0" collapsed="false">
      <c r="A51" s="49" t="s">
        <v>155</v>
      </c>
      <c r="B51" s="50" t="n">
        <f aca="false">SUM(B48:B50)</f>
        <v>17772</v>
      </c>
      <c r="C51" s="51" t="s">
        <v>156</v>
      </c>
    </row>
    <row r="53" customFormat="false" ht="25.5" hidden="false" customHeight="true" outlineLevel="0" collapsed="false">
      <c r="A53" s="8" t="s">
        <v>157</v>
      </c>
      <c r="B53" s="8"/>
      <c r="C53" s="8"/>
    </row>
    <row r="54" customFormat="false" ht="15" hidden="false" customHeight="false" outlineLevel="0" collapsed="false">
      <c r="A54" s="10" t="s">
        <v>158</v>
      </c>
      <c r="B54" s="47" t="n">
        <f aca="false">B44*B26</f>
        <v>3024360</v>
      </c>
      <c r="C54" s="12" t="s">
        <v>159</v>
      </c>
    </row>
    <row r="55" customFormat="false" ht="15" hidden="false" customHeight="false" outlineLevel="0" collapsed="false">
      <c r="A55" s="13" t="s">
        <v>160</v>
      </c>
      <c r="B55" s="48" t="n">
        <f aca="false">B54-B51</f>
        <v>3006588</v>
      </c>
      <c r="C55" s="15" t="s">
        <v>161</v>
      </c>
    </row>
    <row r="56" customFormat="false" ht="15" hidden="false" customHeight="false" outlineLevel="0" collapsed="false">
      <c r="A56" s="53" t="s">
        <v>162</v>
      </c>
      <c r="B56" s="54" t="n">
        <f aca="false">IFERROR(B55/B51,0)</f>
        <v>169.175557056043</v>
      </c>
      <c r="C56" s="12" t="s">
        <v>163</v>
      </c>
    </row>
    <row r="58" customFormat="false" ht="25.5" hidden="false" customHeight="true" outlineLevel="0" collapsed="false">
      <c r="A58" s="8" t="s">
        <v>164</v>
      </c>
      <c r="B58" s="8"/>
      <c r="C58" s="8"/>
    </row>
    <row r="59" customFormat="false" ht="15" hidden="false" customHeight="false" outlineLevel="0" collapsed="false">
      <c r="A59" s="55" t="s">
        <v>165</v>
      </c>
      <c r="B59" s="55" t="s">
        <v>166</v>
      </c>
      <c r="C59" s="55" t="s">
        <v>167</v>
      </c>
      <c r="D59" s="55" t="s">
        <v>168</v>
      </c>
      <c r="E59" s="55" t="s">
        <v>169</v>
      </c>
      <c r="F59" s="56" t="s">
        <v>162</v>
      </c>
    </row>
    <row r="60" customFormat="false" ht="15" hidden="false" customHeight="false" outlineLevel="0" collapsed="false">
      <c r="A60" s="57" t="s">
        <v>170</v>
      </c>
      <c r="B60" s="58" t="n">
        <f aca="false">ROUND(B5*0.05,0)</f>
        <v>1851</v>
      </c>
      <c r="C60" s="58" t="n">
        <f aca="false">ROUND(B60*$B$18*$B$19,0)</f>
        <v>7774</v>
      </c>
      <c r="D60" s="59" t="n">
        <f aca="false">ROUND(C60*($B$22*$B$6+$B$23*$B$6+$B$24*$B$6*$B$25)*12,0)</f>
        <v>3149965</v>
      </c>
      <c r="E60" s="59" t="n">
        <f aca="false">ROUND(B60*12*$B$12,0)+$B$27+$B$28*12</f>
        <v>11106</v>
      </c>
      <c r="F60" s="60" t="n">
        <f aca="false">IFERROR((D60*$B$26-E60)/E60,0)</f>
        <v>169.176391139924</v>
      </c>
    </row>
    <row r="61" customFormat="false" ht="15" hidden="false" customHeight="false" outlineLevel="0" collapsed="false">
      <c r="A61" s="61" t="s">
        <v>171</v>
      </c>
      <c r="B61" s="62" t="n">
        <f aca="false">B17</f>
        <v>2962</v>
      </c>
      <c r="C61" s="62" t="n">
        <f aca="false">ROUND(B61*$B$18*$B$19,0)</f>
        <v>12440</v>
      </c>
      <c r="D61" s="63" t="n">
        <f aca="false">ROUND(C61*($B$22*$B$6+$B$23*$B$6+$B$24*$B$6*$B$25)*12,0)</f>
        <v>5040593</v>
      </c>
      <c r="E61" s="63" t="n">
        <f aca="false">ROUND(B61*12*$B$12,0)+$B$27+$B$28*12</f>
        <v>17772</v>
      </c>
      <c r="F61" s="60" t="n">
        <f aca="false">IFERROR((D61*$B$26-E61)/E61,0)</f>
        <v>169.175320729237</v>
      </c>
    </row>
    <row r="62" customFormat="false" ht="15" hidden="false" customHeight="false" outlineLevel="0" collapsed="false">
      <c r="A62" s="57" t="s">
        <v>172</v>
      </c>
      <c r="B62" s="58" t="n">
        <f aca="false">ROUND(B5*0.12,0)</f>
        <v>4443</v>
      </c>
      <c r="C62" s="58" t="n">
        <f aca="false">ROUND(B62*$B$18*$B$19,0)</f>
        <v>18661</v>
      </c>
      <c r="D62" s="59" t="n">
        <f aca="false">ROUND(C62*($B$22*$B$6+$B$23*$B$6+$B$24*$B$6*$B$25)*12,0)</f>
        <v>7561294</v>
      </c>
      <c r="E62" s="59" t="n">
        <f aca="false">ROUND(B62*12*$B$12,0)+$B$27+$B$28*12</f>
        <v>26658</v>
      </c>
      <c r="F62" s="60" t="n">
        <f aca="false">IFERROR((D62*$B$26-E62)/E62,0)</f>
        <v>169.184424938105</v>
      </c>
    </row>
    <row r="64" customFormat="false" ht="25.5" hidden="false" customHeight="true" outlineLevel="0" collapsed="false">
      <c r="A64" s="8" t="s">
        <v>173</v>
      </c>
      <c r="B64" s="8"/>
      <c r="C64" s="8"/>
    </row>
    <row r="65" customFormat="false" ht="15" hidden="false" customHeight="false" outlineLevel="0" collapsed="false">
      <c r="A65" s="55" t="s">
        <v>1</v>
      </c>
      <c r="B65" s="55" t="s">
        <v>174</v>
      </c>
      <c r="C65" s="55" t="s">
        <v>175</v>
      </c>
      <c r="D65" s="55" t="s">
        <v>176</v>
      </c>
      <c r="E65" s="55" t="s">
        <v>177</v>
      </c>
      <c r="F65" s="55" t="s">
        <v>178</v>
      </c>
    </row>
    <row r="66" customFormat="false" ht="15" hidden="false" customHeight="false" outlineLevel="0" collapsed="false">
      <c r="A66" s="64" t="s">
        <v>179</v>
      </c>
      <c r="B66" s="58" t="n">
        <f aca="false">$B$17</f>
        <v>2962</v>
      </c>
      <c r="C66" s="58" t="n">
        <f aca="false">B66</f>
        <v>2962</v>
      </c>
      <c r="D66" s="58" t="n">
        <f aca="false">ROUND(C66*$B$18,0)</f>
        <v>2073</v>
      </c>
      <c r="E66" s="59" t="n">
        <f aca="false">ROUND(D66*($B$22+$B$23+$B$24*$B$25)*$B$6,0)</f>
        <v>69997</v>
      </c>
      <c r="F66" s="59" t="n">
        <f aca="false">E66</f>
        <v>69997</v>
      </c>
    </row>
    <row r="67" customFormat="false" ht="15" hidden="false" customHeight="false" outlineLevel="0" collapsed="false">
      <c r="A67" s="65" t="s">
        <v>180</v>
      </c>
      <c r="B67" s="62" t="n">
        <f aca="false">$B$17</f>
        <v>2962</v>
      </c>
      <c r="C67" s="62" t="n">
        <f aca="false">C66+B67</f>
        <v>5924</v>
      </c>
      <c r="D67" s="62" t="n">
        <f aca="false">ROUND(C67*$B$18,0)</f>
        <v>4147</v>
      </c>
      <c r="E67" s="63" t="n">
        <f aca="false">ROUND(D67*($B$22+$B$23+$B$24*$B$25)*$B$6,0)</f>
        <v>140028</v>
      </c>
      <c r="F67" s="63" t="n">
        <f aca="false">F66+E67</f>
        <v>210025</v>
      </c>
    </row>
    <row r="68" customFormat="false" ht="15" hidden="false" customHeight="false" outlineLevel="0" collapsed="false">
      <c r="A68" s="64" t="s">
        <v>181</v>
      </c>
      <c r="B68" s="58" t="n">
        <f aca="false">$B$17</f>
        <v>2962</v>
      </c>
      <c r="C68" s="58" t="n">
        <f aca="false">C67+B68</f>
        <v>8886</v>
      </c>
      <c r="D68" s="58" t="n">
        <f aca="false">ROUND(C68*$B$18,0)</f>
        <v>6220</v>
      </c>
      <c r="E68" s="59" t="n">
        <f aca="false">ROUND(D68*($B$22+$B$23+$B$24*$B$25)*$B$6,0)</f>
        <v>210025</v>
      </c>
      <c r="F68" s="59" t="n">
        <f aca="false">F67+E68</f>
        <v>420050</v>
      </c>
    </row>
    <row r="69" customFormat="false" ht="15" hidden="false" customHeight="false" outlineLevel="0" collapsed="false">
      <c r="A69" s="65" t="s">
        <v>182</v>
      </c>
      <c r="B69" s="62" t="n">
        <f aca="false">$B$17</f>
        <v>2962</v>
      </c>
      <c r="C69" s="62" t="n">
        <f aca="false">C68+B69</f>
        <v>11848</v>
      </c>
      <c r="D69" s="62" t="n">
        <f aca="false">ROUND(C69*$B$18,0)</f>
        <v>8294</v>
      </c>
      <c r="E69" s="63" t="n">
        <f aca="false">ROUND(D69*($B$22+$B$23+$B$24*$B$25)*$B$6,0)</f>
        <v>280055</v>
      </c>
      <c r="F69" s="63" t="n">
        <f aca="false">F68+E69</f>
        <v>700105</v>
      </c>
    </row>
    <row r="70" customFormat="false" ht="15" hidden="false" customHeight="false" outlineLevel="0" collapsed="false">
      <c r="A70" s="64" t="s">
        <v>183</v>
      </c>
      <c r="B70" s="58" t="n">
        <f aca="false">$B$17</f>
        <v>2962</v>
      </c>
      <c r="C70" s="58" t="n">
        <f aca="false">C69+B70</f>
        <v>14810</v>
      </c>
      <c r="D70" s="58" t="n">
        <f aca="false">ROUND(C70*$B$18,0)</f>
        <v>10367</v>
      </c>
      <c r="E70" s="59" t="n">
        <f aca="false">ROUND(D70*($B$22+$B$23+$B$24*$B$25)*$B$6,0)</f>
        <v>350052</v>
      </c>
      <c r="F70" s="59" t="n">
        <f aca="false">F69+E70</f>
        <v>1050157</v>
      </c>
    </row>
    <row r="71" customFormat="false" ht="15" hidden="false" customHeight="false" outlineLevel="0" collapsed="false">
      <c r="A71" s="65" t="s">
        <v>184</v>
      </c>
      <c r="B71" s="62" t="n">
        <f aca="false">$B$17</f>
        <v>2962</v>
      </c>
      <c r="C71" s="62" t="n">
        <f aca="false">C70+B71</f>
        <v>17772</v>
      </c>
      <c r="D71" s="62" t="n">
        <f aca="false">ROUND(C71*$B$18,0)</f>
        <v>12440</v>
      </c>
      <c r="E71" s="63" t="n">
        <f aca="false">ROUND(D71*($B$22+$B$23+$B$24*$B$25)*$B$6,0)</f>
        <v>420049</v>
      </c>
      <c r="F71" s="63" t="n">
        <f aca="false">F70+E71</f>
        <v>1470206</v>
      </c>
    </row>
    <row r="72" customFormat="false" ht="15" hidden="false" customHeight="false" outlineLevel="0" collapsed="false">
      <c r="A72" s="64" t="s">
        <v>185</v>
      </c>
      <c r="B72" s="58" t="n">
        <f aca="false">$B$17</f>
        <v>2962</v>
      </c>
      <c r="C72" s="58" t="n">
        <f aca="false">C71+B72</f>
        <v>20734</v>
      </c>
      <c r="D72" s="58" t="n">
        <f aca="false">ROUND(C72*$B$18,0)</f>
        <v>14514</v>
      </c>
      <c r="E72" s="59" t="n">
        <f aca="false">ROUND(D72*($B$22+$B$23+$B$24*$B$25)*$B$6,0)</f>
        <v>490080</v>
      </c>
      <c r="F72" s="59" t="n">
        <f aca="false">F71+E72</f>
        <v>1960286</v>
      </c>
    </row>
    <row r="73" customFormat="false" ht="15" hidden="false" customHeight="false" outlineLevel="0" collapsed="false">
      <c r="A73" s="65" t="s">
        <v>186</v>
      </c>
      <c r="B73" s="62" t="n">
        <f aca="false">$B$17</f>
        <v>2962</v>
      </c>
      <c r="C73" s="62" t="n">
        <f aca="false">C72+B73</f>
        <v>23696</v>
      </c>
      <c r="D73" s="62" t="n">
        <f aca="false">ROUND(C73*$B$18,0)</f>
        <v>16587</v>
      </c>
      <c r="E73" s="63" t="n">
        <f aca="false">ROUND(D73*($B$22+$B$23+$B$24*$B$25)*$B$6,0)</f>
        <v>560077</v>
      </c>
      <c r="F73" s="63" t="n">
        <f aca="false">F72+E73</f>
        <v>2520363</v>
      </c>
    </row>
    <row r="74" customFormat="false" ht="15" hidden="false" customHeight="false" outlineLevel="0" collapsed="false">
      <c r="A74" s="64" t="s">
        <v>187</v>
      </c>
      <c r="B74" s="58" t="n">
        <f aca="false">$B$17</f>
        <v>2962</v>
      </c>
      <c r="C74" s="58" t="n">
        <f aca="false">C73+B74</f>
        <v>26658</v>
      </c>
      <c r="D74" s="58" t="n">
        <f aca="false">ROUND(C74*$B$18,0)</f>
        <v>18661</v>
      </c>
      <c r="E74" s="59" t="n">
        <f aca="false">ROUND(D74*($B$22+$B$23+$B$24*$B$25)*$B$6,0)</f>
        <v>630108</v>
      </c>
      <c r="F74" s="59" t="n">
        <f aca="false">F73+E74</f>
        <v>3150471</v>
      </c>
    </row>
    <row r="75" customFormat="false" ht="15" hidden="false" customHeight="false" outlineLevel="0" collapsed="false">
      <c r="A75" s="65" t="s">
        <v>188</v>
      </c>
      <c r="B75" s="62" t="n">
        <f aca="false">$B$17</f>
        <v>2962</v>
      </c>
      <c r="C75" s="62" t="n">
        <f aca="false">C74+B75</f>
        <v>29620</v>
      </c>
      <c r="D75" s="62" t="n">
        <f aca="false">ROUND(C75*$B$18,0)</f>
        <v>20734</v>
      </c>
      <c r="E75" s="63" t="n">
        <f aca="false">ROUND(D75*($B$22+$B$23+$B$24*$B$25)*$B$6,0)</f>
        <v>700105</v>
      </c>
      <c r="F75" s="63" t="n">
        <f aca="false">F74+E75</f>
        <v>3850576</v>
      </c>
    </row>
    <row r="76" customFormat="false" ht="15" hidden="false" customHeight="false" outlineLevel="0" collapsed="false">
      <c r="A76" s="64" t="s">
        <v>189</v>
      </c>
      <c r="B76" s="58" t="n">
        <f aca="false">$B$17</f>
        <v>2962</v>
      </c>
      <c r="C76" s="58" t="n">
        <f aca="false">C75+B76</f>
        <v>32582</v>
      </c>
      <c r="D76" s="58" t="n">
        <f aca="false">ROUND(C76*$B$18,0)</f>
        <v>22807</v>
      </c>
      <c r="E76" s="59" t="n">
        <f aca="false">ROUND(D76*($B$22+$B$23+$B$24*$B$25)*$B$6,0)</f>
        <v>770102</v>
      </c>
      <c r="F76" s="59" t="n">
        <f aca="false">F75+E76</f>
        <v>4620678</v>
      </c>
    </row>
    <row r="77" customFormat="false" ht="15" hidden="false" customHeight="false" outlineLevel="0" collapsed="false">
      <c r="A77" s="65" t="s">
        <v>190</v>
      </c>
      <c r="B77" s="62" t="n">
        <f aca="false">$B$17</f>
        <v>2962</v>
      </c>
      <c r="C77" s="62" t="n">
        <f aca="false">C76+B77</f>
        <v>35544</v>
      </c>
      <c r="D77" s="62" t="n">
        <f aca="false">ROUND(C77*$B$18,0)</f>
        <v>24881</v>
      </c>
      <c r="E77" s="63" t="n">
        <f aca="false">ROUND(D77*($B$22+$B$23+$B$24*$B$25)*$B$6,0)</f>
        <v>840133</v>
      </c>
      <c r="F77" s="63" t="n">
        <f aca="false">F76+E77</f>
        <v>5460811</v>
      </c>
    </row>
    <row r="78" customFormat="false" ht="15" hidden="false" customHeight="false" outlineLevel="0" collapsed="false">
      <c r="A78" s="49" t="s">
        <v>191</v>
      </c>
      <c r="B78" s="66" t="n">
        <f aca="false">C77</f>
        <v>35544</v>
      </c>
      <c r="C78" s="67"/>
      <c r="E78" s="68" t="n">
        <f aca="false">F77</f>
        <v>5460811</v>
      </c>
    </row>
    <row r="80" customFormat="false" ht="15" hidden="false" customHeight="false" outlineLevel="0" collapsed="false">
      <c r="A80" s="69" t="s">
        <v>192</v>
      </c>
      <c r="B80" s="69"/>
      <c r="C80" s="69"/>
      <c r="D80" s="69"/>
    </row>
  </sheetData>
  <mergeCells count="11">
    <mergeCell ref="A1:C1"/>
    <mergeCell ref="A3:C3"/>
    <mergeCell ref="A14:C14"/>
    <mergeCell ref="A21:C21"/>
    <mergeCell ref="A30:C30"/>
    <mergeCell ref="A37:C37"/>
    <mergeCell ref="A46:C46"/>
    <mergeCell ref="A53:C53"/>
    <mergeCell ref="A58:C58"/>
    <mergeCell ref="A64:C64"/>
    <mergeCell ref="A80:D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2026-06-28T12:49:53Z</dcterms:created>
  <dc:creator>openpyxl</dc:creator>
  <dc:description/>
  <dc:language>en-US</dc:language>
  <cp:lastModifiedBy/>
  <dcterms:modified xsi:type="dcterms:W3CDTF">2026-06-28T12:49:53Z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